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 고3" sheetId="1" state="visible" r:id="rId1"/>
    <sheet name="2025-03 고3" sheetId="2" state="visible" r:id="rId2"/>
    <sheet name="2024-03 고3" sheetId="3" state="visible" r:id="rId3"/>
  </sheets>
  <definedNames>
    <definedName name="_xlnm._FilterDatabase" localSheetId="1" hidden="1">'2025-03 고3'!$A$6:$R$21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166"/>
      <sz val="9"/>
    </font>
    <font>
      <name val="Arial"/>
      <b val="1"/>
    </font>
    <font>
      <name val="Arial"/>
      <color rgb="000000FF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E8DFD6"/>
      </patternFill>
    </fill>
    <fill>
      <patternFill patternType="solid">
        <fgColor rgb="00F2EDE8"/>
      </patternFill>
    </fill>
  </fills>
  <borders count="9">
    <border>
      <left/>
      <right/>
      <top/>
      <bottom/>
      <diagonal/>
    </border>
    <border>
      <left style="thin">
        <color rgb="00D9D2CC"/>
      </left>
      <right style="thin">
        <color rgb="00D9D2CC"/>
      </right>
      <top style="thin">
        <color rgb="00D9D2CC"/>
      </top>
      <bottom style="thin">
        <color rgb="00D9D2CC"/>
      </bottom>
    </border>
    <border>
      <left style="thin">
        <color rgb="00D9D2CC"/>
      </left>
      <right/>
      <top/>
      <bottom/>
      <diagonal/>
    </border>
    <border>
      <left style="thin">
        <color rgb="00D9D2CC"/>
      </left>
      <right style="thin">
        <color rgb="00D9D2CC"/>
      </right>
      <top/>
      <bottom/>
      <diagonal/>
    </border>
    <border>
      <left style="thin">
        <color rgb="00D9D2CC"/>
      </left>
      <right style="thin">
        <color rgb="00D9D2CC"/>
      </right>
      <top/>
      <bottom style="thin">
        <color rgb="00D9D2CC"/>
      </bottom>
      <diagonal/>
    </border>
    <border>
      <left/>
      <right/>
      <top style="thin">
        <color rgb="00D9D2CC"/>
      </top>
      <bottom/>
      <diagonal/>
    </border>
    <border>
      <left/>
      <right style="thin">
        <color rgb="00D9D2CC"/>
      </right>
      <top style="thin">
        <color rgb="00D9D2CC"/>
      </top>
      <bottom/>
      <diagonal/>
    </border>
    <border>
      <left/>
      <right/>
      <top style="thin">
        <color rgb="00D9D2CC"/>
      </top>
      <bottom style="thin">
        <color rgb="00D9D2CC"/>
      </bottom>
      <diagonal/>
    </border>
    <border>
      <left/>
      <right style="thin">
        <color rgb="00D9D2CC"/>
      </right>
      <top style="thin">
        <color rgb="00D9D2CC"/>
      </top>
      <bottom style="thin">
        <color rgb="00D9D2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dxfs count="3">
    <dxf>
      <font>
        <name val="Arial"/>
        <b val="1"/>
        <color rgb="001E6B3F"/>
      </font>
      <fill>
        <patternFill patternType="solid">
          <fgColor rgb="00D8F0E1"/>
        </patternFill>
      </fill>
    </dxf>
    <dxf>
      <font>
        <name val="Arial"/>
        <b val="1"/>
        <color rgb="009A4A06"/>
      </font>
      <fill>
        <patternFill patternType="solid">
          <fgColor rgb="00FCE3C8"/>
        </patternFill>
      </fill>
    </dxf>
    <dxf>
      <fill>
        <patternFill patternType="solid">
          <fgColor rgb="00F8C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Loopin</author>
  </authors>
  <commentList>
    <comment ref="C5" authorId="0" shapeId="0">
      <text>
        <t>EBS 공개 오답률. 정답 선택률(K)과 더하면 100%가 되어야 한다.</t>
      </text>
    </comment>
    <comment ref="L6" authorId="0" shapeId="0">
      <text>
        <t>정답을 뺀 선택지 중 가장 많이 고른 번호. 가르칠 때 겨냥할 오개념 후보.</t>
      </text>
    </comment>
  </commentList>
</comments>
</file>

<file path=xl/comments/comment2.xml><?xml version="1.0" encoding="utf-8"?>
<comments xmlns="http://schemas.openxmlformats.org/spreadsheetml/2006/main">
  <authors>
    <author>Loopin</author>
  </authors>
  <commentList>
    <comment ref="C5" authorId="0" shapeId="0">
      <text>
        <t>EBS 공개 오답률. 정답 선택률(K)과 더하면 100%가 되어야 한다.</t>
      </text>
    </comment>
    <comment ref="L6" authorId="0" shapeId="0">
      <text>
        <t>정답을 뺀 선택지 중 가장 많이 고른 번호. 가르칠 때 겨냥할 오개념 후보.</t>
      </text>
    </comment>
  </commentList>
</comments>
</file>

<file path=xl/comments/comment3.xml><?xml version="1.0" encoding="utf-8"?>
<comments xmlns="http://schemas.openxmlformats.org/spreadsheetml/2006/main">
  <authors>
    <author>Loopin</author>
  </authors>
  <commentList>
    <comment ref="C5" authorId="0" shapeId="0">
      <text>
        <t>EBS 공개 오답률. 정답 선택률(K)과 더하면 100%가 되어야 한다.</t>
      </text>
    </comment>
    <comment ref="L6" authorId="0" shapeId="0">
      <text>
        <t>정답을 뺀 선택지 중 가장 많이 고른 번호. 가르칠 때 겨냥할 오개념 후보.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24" customWidth="1" min="14" max="14"/>
    <col width="9" customWidth="1" min="15" max="15"/>
    <col width="34" customWidth="1" min="16" max="16"/>
    <col width="9" customWidth="1" min="17" max="17"/>
    <col width="46" customWidth="1" min="18" max="18"/>
  </cols>
  <sheetData>
    <row r="1">
      <c r="A1" s="1" t="inlineStr">
        <is>
          <t>2026학년도 3월 고3 전국연합학력평가 영어 — 오답률 상위 15문항</t>
        </is>
      </c>
    </row>
    <row r="2">
      <c r="A2" s="2" t="inlineStr">
        <is>
          <t>출처: 오답률 상위 15문항 공개 자료 (사용자가 제공한 캡처를 2026-10-05에 옮겨 적음). 비율은 전체 응시자 기준 %. 작업 순서 = 오답률 높은 순(순위 1부터).</t>
        </is>
      </c>
    </row>
    <row r="3">
      <c r="A3" s="2" t="inlineStr">
        <is>
          <t>파란 글씨 = 직접 입력하는 값 · 검은 글씨 = 자동 계산 · 초록 칸 = 정답 · 주황 칸 = 가장 많이 고른 오답 · 합계가 100%에서 0.2%p 넘게 벗어나면 빨간 칸</t>
        </is>
      </c>
    </row>
    <row r="5" ht="22" customHeight="1">
      <c r="A5" s="3" t="inlineStr">
        <is>
          <t>순위</t>
        </is>
      </c>
      <c r="B5" s="3" t="inlineStr">
        <is>
          <t>문항
번호</t>
        </is>
      </c>
      <c r="C5" s="3" t="inlineStr">
        <is>
          <t>오답률</t>
        </is>
      </c>
      <c r="D5" s="3" t="inlineStr">
        <is>
          <t>배점</t>
        </is>
      </c>
      <c r="E5" s="3" t="inlineStr">
        <is>
          <t>정답</t>
        </is>
      </c>
      <c r="F5" s="3" t="inlineStr">
        <is>
          <t>선택지별 비율</t>
        </is>
      </c>
      <c r="G5" s="11" t="n"/>
      <c r="H5" s="11" t="n"/>
      <c r="I5" s="11" t="n"/>
      <c r="J5" s="12" t="n"/>
      <c r="K5" s="3" t="inlineStr">
        <is>
          <t>분석 (자동 계산)</t>
        </is>
      </c>
      <c r="L5" s="11" t="n"/>
      <c r="M5" s="11" t="n"/>
      <c r="N5" s="11" t="n"/>
      <c r="O5" s="12" t="n"/>
      <c r="P5" s="3" t="inlineStr">
        <is>
          <t>앱 작업 관리</t>
        </is>
      </c>
      <c r="Q5" s="11" t="n"/>
      <c r="R5" s="12" t="n"/>
    </row>
    <row r="6" ht="34" customHeight="1">
      <c r="A6" s="13" t="n"/>
      <c r="B6" s="13" t="n"/>
      <c r="C6" s="13" t="n"/>
      <c r="D6" s="13" t="n"/>
      <c r="E6" s="13" t="n"/>
      <c r="F6" s="4" t="inlineStr">
        <is>
          <t>①</t>
        </is>
      </c>
      <c r="G6" s="4" t="inlineStr">
        <is>
          <t>②</t>
        </is>
      </c>
      <c r="H6" s="4" t="inlineStr">
        <is>
          <t>③</t>
        </is>
      </c>
      <c r="I6" s="4" t="inlineStr">
        <is>
          <t>④</t>
        </is>
      </c>
      <c r="J6" s="4" t="inlineStr">
        <is>
          <t>⑤</t>
        </is>
      </c>
      <c r="K6" s="4" t="inlineStr">
        <is>
          <t>정답
선택률</t>
        </is>
      </c>
      <c r="L6" s="4" t="inlineStr">
        <is>
          <t>최다 오답
번호</t>
        </is>
      </c>
      <c r="M6" s="4" t="inlineStr">
        <is>
          <t>최다 오답
비율</t>
        </is>
      </c>
      <c r="N6" s="4" t="inlineStr">
        <is>
          <t>경고</t>
        </is>
      </c>
      <c r="O6" s="4" t="inlineStr">
        <is>
          <t>선택률
합계</t>
        </is>
      </c>
      <c r="P6" s="4" t="inlineStr">
        <is>
          <t>레슨 id</t>
        </is>
      </c>
      <c r="Q6" s="4" t="inlineStr">
        <is>
          <t>상태</t>
        </is>
      </c>
      <c r="R6" s="4" t="inlineStr">
        <is>
          <t>메모</t>
        </is>
      </c>
    </row>
    <row r="7">
      <c r="A7" s="5" t="n">
        <v>9</v>
      </c>
      <c r="B7" s="5" t="n">
        <v>21</v>
      </c>
      <c r="C7" s="6" t="n">
        <v>0.586</v>
      </c>
      <c r="D7" s="5" t="n">
        <v>3</v>
      </c>
      <c r="E7" s="5" t="n">
        <v>3</v>
      </c>
      <c r="F7" s="6" t="n">
        <v>0.141</v>
      </c>
      <c r="G7" s="6" t="n">
        <v>0.151</v>
      </c>
      <c r="H7" s="6" t="n">
        <v>0.414</v>
      </c>
      <c r="I7" s="6" t="n">
        <v>0.164</v>
      </c>
      <c r="J7" s="6" t="n">
        <v>0.131</v>
      </c>
      <c r="K7" s="7">
        <f>INDEX(F7:J7,E7)</f>
        <v/>
      </c>
      <c r="L7" s="8">
        <f>IF(INDEX(F7:J7,E7)=MAX(F7:J7),MATCH(LARGE(F7:J7,2),F7:J7,0),MATCH(MAX(F7:J7),F7:J7,0))</f>
        <v/>
      </c>
      <c r="M7" s="7">
        <f>INDEX(F7:J7,L7)</f>
        <v/>
      </c>
      <c r="N7" s="9">
        <f>IF(M7&gt;K7,"오답이 정답보다 많이 선택됨","")</f>
        <v/>
      </c>
      <c r="O7" s="7">
        <f>SUM(F7:J7)</f>
        <v/>
      </c>
      <c r="P7" s="10" t="inlineStr">
        <is>
          <t>moeui-2026-03-21-music-researchers</t>
        </is>
      </c>
      <c r="Q7" s="5" t="inlineStr">
        <is>
          <t>완료</t>
        </is>
      </c>
      <c r="R7" s="10" t="inlineStr">
        <is>
          <t>기준 레슨</t>
        </is>
      </c>
    </row>
    <row r="8">
      <c r="A8" s="5" t="n">
        <v>3</v>
      </c>
      <c r="B8" s="5" t="n">
        <v>24</v>
      </c>
      <c r="C8" s="6" t="n">
        <v>0.657</v>
      </c>
      <c r="D8" s="5" t="n">
        <v>3</v>
      </c>
      <c r="E8" s="5" t="n">
        <v>1</v>
      </c>
      <c r="F8" s="6" t="n">
        <v>0.343</v>
      </c>
      <c r="G8" s="6" t="n">
        <v>0.107</v>
      </c>
      <c r="H8" s="6" t="n">
        <v>0.119</v>
      </c>
      <c r="I8" s="6" t="n">
        <v>0.255</v>
      </c>
      <c r="J8" s="6" t="n">
        <v>0.176</v>
      </c>
      <c r="K8" s="7">
        <f>INDEX(F8:J8,E8)</f>
        <v/>
      </c>
      <c r="L8" s="8">
        <f>IF(INDEX(F8:J8,E8)=MAX(F8:J8),MATCH(LARGE(F8:J8,2),F8:J8,0),MATCH(MAX(F8:J8),F8:J8,0))</f>
        <v/>
      </c>
      <c r="M8" s="7">
        <f>INDEX(F8:J8,L8)</f>
        <v/>
      </c>
      <c r="N8" s="9">
        <f>IF(M8&gt;K8,"오답이 정답보다 많이 선택됨","")</f>
        <v/>
      </c>
      <c r="O8" s="7">
        <f>SUM(F8:J8)</f>
        <v/>
      </c>
      <c r="P8" s="10" t="n"/>
      <c r="Q8" s="5" t="inlineStr">
        <is>
          <t>예정</t>
        </is>
      </c>
      <c r="R8" s="10" t="n"/>
    </row>
    <row r="9">
      <c r="A9" s="5" t="n">
        <v>1</v>
      </c>
      <c r="B9" s="5" t="n">
        <v>30</v>
      </c>
      <c r="C9" s="6" t="n">
        <v>0.8090000000000001</v>
      </c>
      <c r="D9" s="5" t="n">
        <v>2</v>
      </c>
      <c r="E9" s="5" t="n">
        <v>2</v>
      </c>
      <c r="F9" s="6" t="n">
        <v>0.057</v>
      </c>
      <c r="G9" s="6" t="n">
        <v>0.191</v>
      </c>
      <c r="H9" s="6" t="n">
        <v>0.29</v>
      </c>
      <c r="I9" s="6" t="n">
        <v>0.38</v>
      </c>
      <c r="J9" s="6" t="n">
        <v>0.082</v>
      </c>
      <c r="K9" s="7">
        <f>INDEX(F9:J9,E9)</f>
        <v/>
      </c>
      <c r="L9" s="8">
        <f>IF(INDEX(F9:J9,E9)=MAX(F9:J9),MATCH(LARGE(F9:J9,2),F9:J9,0),MATCH(MAX(F9:J9),F9:J9,0))</f>
        <v/>
      </c>
      <c r="M9" s="7">
        <f>INDEX(F9:J9,L9)</f>
        <v/>
      </c>
      <c r="N9" s="9">
        <f>IF(M9&gt;K9,"오답이 정답보다 많이 선택됨","")</f>
        <v/>
      </c>
      <c r="O9" s="7">
        <f>SUM(F9:J9)</f>
        <v/>
      </c>
      <c r="P9" s="10" t="inlineStr">
        <is>
          <t>moeui-2026-03-30-names-and-differences</t>
        </is>
      </c>
      <c r="Q9" s="5" t="inlineStr">
        <is>
          <t>완료</t>
        </is>
      </c>
      <c r="R9" s="10" t="inlineStr">
        <is>
          <t>오답률 1위. ④ 38.0%·③ 29.0%가 정답 ②(19.1%)보다 많음 — 오답 설명 챙길 것</t>
        </is>
      </c>
    </row>
    <row r="10">
      <c r="A10" s="5" t="n">
        <v>8</v>
      </c>
      <c r="B10" s="5" t="n">
        <v>31</v>
      </c>
      <c r="C10" s="6" t="n">
        <v>0.598</v>
      </c>
      <c r="D10" s="5" t="n">
        <v>2</v>
      </c>
      <c r="E10" s="5" t="n">
        <v>5</v>
      </c>
      <c r="F10" s="6" t="n">
        <v>0.139</v>
      </c>
      <c r="G10" s="6" t="n">
        <v>0.191</v>
      </c>
      <c r="H10" s="6" t="n">
        <v>0.154</v>
      </c>
      <c r="I10" s="6" t="n">
        <v>0.114</v>
      </c>
      <c r="J10" s="6" t="n">
        <v>0.402</v>
      </c>
      <c r="K10" s="7">
        <f>INDEX(F10:J10,E10)</f>
        <v/>
      </c>
      <c r="L10" s="8">
        <f>IF(INDEX(F10:J10,E10)=MAX(F10:J10),MATCH(LARGE(F10:J10,2),F10:J10,0),MATCH(MAX(F10:J10),F10:J10,0))</f>
        <v/>
      </c>
      <c r="M10" s="7">
        <f>INDEX(F10:J10,L10)</f>
        <v/>
      </c>
      <c r="N10" s="9">
        <f>IF(M10&gt;K10,"오답이 정답보다 많이 선택됨","")</f>
        <v/>
      </c>
      <c r="O10" s="7">
        <f>SUM(F10:J10)</f>
        <v/>
      </c>
      <c r="P10" s="10" t="inlineStr">
        <is>
          <t>moeui-2026-03-31-art-and-commerce</t>
        </is>
      </c>
      <c r="Q10" s="5" t="inlineStr">
        <is>
          <t>초안</t>
        </is>
      </c>
      <c r="R10" s="10" t="inlineStr">
        <is>
          <t>Claude 초안 2026-10-21 — 선생님 검토 전</t>
        </is>
      </c>
    </row>
    <row r="11">
      <c r="A11" s="5" t="n">
        <v>12</v>
      </c>
      <c r="B11" s="5" t="n">
        <v>32</v>
      </c>
      <c r="C11" s="6" t="n">
        <v>0.555</v>
      </c>
      <c r="D11" s="5" t="n">
        <v>2</v>
      </c>
      <c r="E11" s="5" t="n">
        <v>2</v>
      </c>
      <c r="F11" s="6" t="n">
        <v>0.144</v>
      </c>
      <c r="G11" s="6" t="n">
        <v>0.445</v>
      </c>
      <c r="H11" s="6" t="n">
        <v>0.229</v>
      </c>
      <c r="I11" s="6" t="n">
        <v>0.1</v>
      </c>
      <c r="J11" s="6" t="n">
        <v>0.082</v>
      </c>
      <c r="K11" s="7">
        <f>INDEX(F11:J11,E11)</f>
        <v/>
      </c>
      <c r="L11" s="8">
        <f>IF(INDEX(F11:J11,E11)=MAX(F11:J11),MATCH(LARGE(F11:J11,2),F11:J11,0),MATCH(MAX(F11:J11),F11:J11,0))</f>
        <v/>
      </c>
      <c r="M11" s="7">
        <f>INDEX(F11:J11,L11)</f>
        <v/>
      </c>
      <c r="N11" s="9">
        <f>IF(M11&gt;K11,"오답이 정답보다 많이 선택됨","")</f>
        <v/>
      </c>
      <c r="O11" s="7">
        <f>SUM(F11:J11)</f>
        <v/>
      </c>
      <c r="P11" s="10" t="n"/>
      <c r="Q11" s="5" t="inlineStr">
        <is>
          <t>예정</t>
        </is>
      </c>
      <c r="R11" s="10" t="n"/>
    </row>
    <row r="12">
      <c r="A12" s="5" t="n">
        <v>5</v>
      </c>
      <c r="B12" s="5" t="n">
        <v>33</v>
      </c>
      <c r="C12" s="6" t="n">
        <v>0.635</v>
      </c>
      <c r="D12" s="5" t="n">
        <v>3</v>
      </c>
      <c r="E12" s="5" t="n">
        <v>3</v>
      </c>
      <c r="F12" s="6" t="n">
        <v>0.113</v>
      </c>
      <c r="G12" s="6" t="n">
        <v>0.18</v>
      </c>
      <c r="H12" s="6" t="n">
        <v>0.365</v>
      </c>
      <c r="I12" s="6" t="n">
        <v>0.221</v>
      </c>
      <c r="J12" s="6" t="n">
        <v>0.121</v>
      </c>
      <c r="K12" s="7">
        <f>INDEX(F12:J12,E12)</f>
        <v/>
      </c>
      <c r="L12" s="8">
        <f>IF(INDEX(F12:J12,E12)=MAX(F12:J12),MATCH(LARGE(F12:J12,2),F12:J12,0),MATCH(MAX(F12:J12),F12:J12,0))</f>
        <v/>
      </c>
      <c r="M12" s="7">
        <f>INDEX(F12:J12,L12)</f>
        <v/>
      </c>
      <c r="N12" s="9">
        <f>IF(M12&gt;K12,"오답이 정답보다 많이 선택됨","")</f>
        <v/>
      </c>
      <c r="O12" s="7">
        <f>SUM(F12:J12)</f>
        <v/>
      </c>
      <c r="P12" s="10" t="n"/>
      <c r="Q12" s="5" t="inlineStr">
        <is>
          <t>예정</t>
        </is>
      </c>
      <c r="R12" s="10" t="n"/>
    </row>
    <row r="13">
      <c r="A13" s="5" t="n">
        <v>13</v>
      </c>
      <c r="B13" s="5" t="n">
        <v>34</v>
      </c>
      <c r="C13" s="6" t="n">
        <v>0.54</v>
      </c>
      <c r="D13" s="5" t="n">
        <v>2</v>
      </c>
      <c r="E13" s="5" t="n">
        <v>3</v>
      </c>
      <c r="F13" s="6" t="n">
        <v>0.159</v>
      </c>
      <c r="G13" s="6" t="n">
        <v>0.15</v>
      </c>
      <c r="H13" s="6" t="n">
        <v>0.46</v>
      </c>
      <c r="I13" s="6" t="n">
        <v>0.138</v>
      </c>
      <c r="J13" s="6" t="n">
        <v>0.092</v>
      </c>
      <c r="K13" s="7">
        <f>INDEX(F13:J13,E13)</f>
        <v/>
      </c>
      <c r="L13" s="8">
        <f>IF(INDEX(F13:J13,E13)=MAX(F13:J13),MATCH(LARGE(F13:J13,2),F13:J13,0),MATCH(MAX(F13:J13),F13:J13,0))</f>
        <v/>
      </c>
      <c r="M13" s="7">
        <f>INDEX(F13:J13,L13)</f>
        <v/>
      </c>
      <c r="N13" s="9">
        <f>IF(M13&gt;K13,"오답이 정답보다 많이 선택됨","")</f>
        <v/>
      </c>
      <c r="O13" s="7">
        <f>SUM(F13:J13)</f>
        <v/>
      </c>
      <c r="P13" s="10" t="n"/>
      <c r="Q13" s="5" t="inlineStr">
        <is>
          <t>예정</t>
        </is>
      </c>
      <c r="R13" s="10" t="n"/>
    </row>
    <row r="14">
      <c r="A14" s="5" t="n">
        <v>15</v>
      </c>
      <c r="B14" s="5" t="n">
        <v>35</v>
      </c>
      <c r="C14" s="6" t="n">
        <v>0.459</v>
      </c>
      <c r="D14" s="5" t="n">
        <v>2</v>
      </c>
      <c r="E14" s="5" t="n">
        <v>3</v>
      </c>
      <c r="F14" s="6" t="n">
        <v>0.036</v>
      </c>
      <c r="G14" s="6" t="n">
        <v>0.083</v>
      </c>
      <c r="H14" s="6" t="n">
        <v>0.541</v>
      </c>
      <c r="I14" s="6" t="n">
        <v>0.22</v>
      </c>
      <c r="J14" s="6" t="n">
        <v>0.119</v>
      </c>
      <c r="K14" s="7">
        <f>INDEX(F14:J14,E14)</f>
        <v/>
      </c>
      <c r="L14" s="8">
        <f>IF(INDEX(F14:J14,E14)=MAX(F14:J14),MATCH(LARGE(F14:J14,2),F14:J14,0),MATCH(MAX(F14:J14),F14:J14,0))</f>
        <v/>
      </c>
      <c r="M14" s="7">
        <f>INDEX(F14:J14,L14)</f>
        <v/>
      </c>
      <c r="N14" s="9">
        <f>IF(M14&gt;K14,"오답이 정답보다 많이 선택됨","")</f>
        <v/>
      </c>
      <c r="O14" s="7">
        <f>SUM(F14:J14)</f>
        <v/>
      </c>
      <c r="P14" s="10" t="n"/>
      <c r="Q14" s="5" t="inlineStr">
        <is>
          <t>예정</t>
        </is>
      </c>
      <c r="R14" s="10" t="n"/>
    </row>
    <row r="15">
      <c r="A15" s="5" t="n">
        <v>4</v>
      </c>
      <c r="B15" s="5" t="n">
        <v>36</v>
      </c>
      <c r="C15" s="6" t="n">
        <v>0.649</v>
      </c>
      <c r="D15" s="5" t="n">
        <v>3</v>
      </c>
      <c r="E15" s="5" t="n">
        <v>4</v>
      </c>
      <c r="F15" s="6" t="n">
        <v>0.063</v>
      </c>
      <c r="G15" s="6" t="n">
        <v>0.198</v>
      </c>
      <c r="H15" s="6" t="n">
        <v>0.257</v>
      </c>
      <c r="I15" s="6" t="n">
        <v>0.351</v>
      </c>
      <c r="J15" s="6" t="n">
        <v>0.131</v>
      </c>
      <c r="K15" s="7">
        <f>INDEX(F15:J15,E15)</f>
        <v/>
      </c>
      <c r="L15" s="8">
        <f>IF(INDEX(F15:J15,E15)=MAX(F15:J15),MATCH(LARGE(F15:J15,2),F15:J15,0),MATCH(MAX(F15:J15),F15:J15,0))</f>
        <v/>
      </c>
      <c r="M15" s="7">
        <f>INDEX(F15:J15,L15)</f>
        <v/>
      </c>
      <c r="N15" s="9">
        <f>IF(M15&gt;K15,"오답이 정답보다 많이 선택됨","")</f>
        <v/>
      </c>
      <c r="O15" s="7">
        <f>SUM(F15:J15)</f>
        <v/>
      </c>
      <c r="P15" s="10" t="n"/>
      <c r="Q15" s="5" t="inlineStr">
        <is>
          <t>예정</t>
        </is>
      </c>
      <c r="R15" s="10" t="n"/>
    </row>
    <row r="16">
      <c r="A16" s="5" t="n">
        <v>14</v>
      </c>
      <c r="B16" s="5" t="n">
        <v>37</v>
      </c>
      <c r="C16" s="6" t="n">
        <v>0.526</v>
      </c>
      <c r="D16" s="5" t="n">
        <v>2</v>
      </c>
      <c r="E16" s="5" t="n">
        <v>2</v>
      </c>
      <c r="F16" s="6" t="n">
        <v>0.059</v>
      </c>
      <c r="G16" s="6" t="n">
        <v>0.474</v>
      </c>
      <c r="H16" s="6" t="n">
        <v>0.206</v>
      </c>
      <c r="I16" s="6" t="n">
        <v>0.16</v>
      </c>
      <c r="J16" s="6" t="n">
        <v>0.102</v>
      </c>
      <c r="K16" s="7">
        <f>INDEX(F16:J16,E16)</f>
        <v/>
      </c>
      <c r="L16" s="8">
        <f>IF(INDEX(F16:J16,E16)=MAX(F16:J16),MATCH(LARGE(F16:J16,2),F16:J16,0),MATCH(MAX(F16:J16),F16:J16,0))</f>
        <v/>
      </c>
      <c r="M16" s="7">
        <f>INDEX(F16:J16,L16)</f>
        <v/>
      </c>
      <c r="N16" s="9">
        <f>IF(M16&gt;K16,"오답이 정답보다 많이 선택됨","")</f>
        <v/>
      </c>
      <c r="O16" s="7">
        <f>SUM(F16:J16)</f>
        <v/>
      </c>
      <c r="P16" s="10" t="n"/>
      <c r="Q16" s="5" t="inlineStr">
        <is>
          <t>예정</t>
        </is>
      </c>
      <c r="R16" s="10" t="n"/>
    </row>
    <row r="17">
      <c r="A17" s="5" t="n">
        <v>6</v>
      </c>
      <c r="B17" s="5" t="n">
        <v>38</v>
      </c>
      <c r="C17" s="6" t="n">
        <v>0.623</v>
      </c>
      <c r="D17" s="5" t="n">
        <v>2</v>
      </c>
      <c r="E17" s="5" t="n">
        <v>3</v>
      </c>
      <c r="F17" s="6" t="n">
        <v>0.077</v>
      </c>
      <c r="G17" s="6" t="n">
        <v>0.165</v>
      </c>
      <c r="H17" s="6" t="n">
        <v>0.377</v>
      </c>
      <c r="I17" s="6" t="n">
        <v>0.341</v>
      </c>
      <c r="J17" s="6" t="n">
        <v>0.04</v>
      </c>
      <c r="K17" s="7">
        <f>INDEX(F17:J17,E17)</f>
        <v/>
      </c>
      <c r="L17" s="8">
        <f>IF(INDEX(F17:J17,E17)=MAX(F17:J17),MATCH(LARGE(F17:J17,2),F17:J17,0),MATCH(MAX(F17:J17),F17:J17,0))</f>
        <v/>
      </c>
      <c r="M17" s="7">
        <f>INDEX(F17:J17,L17)</f>
        <v/>
      </c>
      <c r="N17" s="9">
        <f>IF(M17&gt;K17,"오답이 정답보다 많이 선택됨","")</f>
        <v/>
      </c>
      <c r="O17" s="7">
        <f>SUM(F17:J17)</f>
        <v/>
      </c>
      <c r="P17" s="10" t="n"/>
      <c r="Q17" s="5" t="inlineStr">
        <is>
          <t>예정</t>
        </is>
      </c>
      <c r="R17" s="10" t="n"/>
    </row>
    <row r="18">
      <c r="A18" s="5" t="n">
        <v>2</v>
      </c>
      <c r="B18" s="5" t="n">
        <v>39</v>
      </c>
      <c r="C18" s="6" t="n">
        <v>0.717</v>
      </c>
      <c r="D18" s="5" t="n">
        <v>3</v>
      </c>
      <c r="E18" s="5" t="n">
        <v>5</v>
      </c>
      <c r="F18" s="6" t="n">
        <v>0.027</v>
      </c>
      <c r="G18" s="6" t="n">
        <v>0.08599999999999999</v>
      </c>
      <c r="H18" s="6" t="n">
        <v>0.225</v>
      </c>
      <c r="I18" s="6" t="n">
        <v>0.379</v>
      </c>
      <c r="J18" s="6" t="n">
        <v>0.283</v>
      </c>
      <c r="K18" s="7">
        <f>INDEX(F18:J18,E18)</f>
        <v/>
      </c>
      <c r="L18" s="8">
        <f>IF(INDEX(F18:J18,E18)=MAX(F18:J18),MATCH(LARGE(F18:J18,2),F18:J18,0),MATCH(MAX(F18:J18),F18:J18,0))</f>
        <v/>
      </c>
      <c r="M18" s="7">
        <f>INDEX(F18:J18,L18)</f>
        <v/>
      </c>
      <c r="N18" s="9">
        <f>IF(M18&gt;K18,"오답이 정답보다 많이 선택됨","")</f>
        <v/>
      </c>
      <c r="O18" s="7">
        <f>SUM(F18:J18)</f>
        <v/>
      </c>
      <c r="P18" s="10" t="n"/>
      <c r="Q18" s="5" t="inlineStr">
        <is>
          <t>작업중</t>
        </is>
      </c>
      <c r="R18" s="10" t="inlineStr">
        <is>
          <t>오답률 2위. ④ 37.9%·⑤(정답) 28.3%·③ 22.5% — ④가 정답보다 많음</t>
        </is>
      </c>
    </row>
    <row r="19">
      <c r="A19" s="5" t="n">
        <v>11</v>
      </c>
      <c r="B19" s="5" t="n">
        <v>40</v>
      </c>
      <c r="C19" s="6" t="n">
        <v>0.576</v>
      </c>
      <c r="D19" s="5" t="n">
        <v>2</v>
      </c>
      <c r="E19" s="5" t="n">
        <v>2</v>
      </c>
      <c r="F19" s="6" t="n">
        <v>0.286</v>
      </c>
      <c r="G19" s="6" t="n">
        <v>0.424</v>
      </c>
      <c r="H19" s="6" t="n">
        <v>0.08699999999999999</v>
      </c>
      <c r="I19" s="6" t="n">
        <v>0.153</v>
      </c>
      <c r="J19" s="6" t="n">
        <v>0.049</v>
      </c>
      <c r="K19" s="7">
        <f>INDEX(F19:J19,E19)</f>
        <v/>
      </c>
      <c r="L19" s="8">
        <f>IF(INDEX(F19:J19,E19)=MAX(F19:J19),MATCH(LARGE(F19:J19,2),F19:J19,0),MATCH(MAX(F19:J19),F19:J19,0))</f>
        <v/>
      </c>
      <c r="M19" s="7">
        <f>INDEX(F19:J19,L19)</f>
        <v/>
      </c>
      <c r="N19" s="9">
        <f>IF(M19&gt;K19,"오답이 정답보다 많이 선택됨","")</f>
        <v/>
      </c>
      <c r="O19" s="7">
        <f>SUM(F19:J19)</f>
        <v/>
      </c>
      <c r="P19" s="10" t="n"/>
      <c r="Q19" s="5" t="inlineStr">
        <is>
          <t>예정</t>
        </is>
      </c>
      <c r="R19" s="10" t="n"/>
    </row>
    <row r="20">
      <c r="A20" s="5" t="n">
        <v>7</v>
      </c>
      <c r="B20" s="5" t="n">
        <v>41</v>
      </c>
      <c r="C20" s="6" t="n">
        <v>0.608</v>
      </c>
      <c r="D20" s="5" t="n">
        <v>2</v>
      </c>
      <c r="E20" s="5" t="n">
        <v>1</v>
      </c>
      <c r="F20" s="6" t="n">
        <v>0.392</v>
      </c>
      <c r="G20" s="6" t="n">
        <v>0.212</v>
      </c>
      <c r="H20" s="6" t="n">
        <v>0.119</v>
      </c>
      <c r="I20" s="6" t="n">
        <v>0.24</v>
      </c>
      <c r="J20" s="6" t="n">
        <v>0.036</v>
      </c>
      <c r="K20" s="7">
        <f>INDEX(F20:J20,E20)</f>
        <v/>
      </c>
      <c r="L20" s="8">
        <f>IF(INDEX(F20:J20,E20)=MAX(F20:J20),MATCH(LARGE(F20:J20,2),F20:J20,0),MATCH(MAX(F20:J20),F20:J20,0))</f>
        <v/>
      </c>
      <c r="M20" s="7">
        <f>INDEX(F20:J20,L20)</f>
        <v/>
      </c>
      <c r="N20" s="9">
        <f>IF(M20&gt;K20,"오답이 정답보다 많이 선택됨","")</f>
        <v/>
      </c>
      <c r="O20" s="7">
        <f>SUM(F20:J20)</f>
        <v/>
      </c>
      <c r="P20" s="10" t="inlineStr">
        <is>
          <t>moeui-2026-03-41-literary-mirror</t>
        </is>
      </c>
      <c r="Q20" s="5" t="inlineStr">
        <is>
          <t>초안</t>
        </is>
      </c>
      <c r="R20" s="10" t="inlineStr">
        <is>
          <t>Claude 초안 2026-10-21 — 선생님 검토 전</t>
        </is>
      </c>
    </row>
    <row r="21">
      <c r="A21" s="5" t="n">
        <v>10</v>
      </c>
      <c r="B21" s="5" t="n">
        <v>42</v>
      </c>
      <c r="C21" s="6" t="n">
        <v>0.577</v>
      </c>
      <c r="D21" s="5" t="n">
        <v>3</v>
      </c>
      <c r="E21" s="5" t="n">
        <v>4</v>
      </c>
      <c r="F21" s="6" t="n">
        <v>0.043</v>
      </c>
      <c r="G21" s="6" t="n">
        <v>0.067</v>
      </c>
      <c r="H21" s="6" t="n">
        <v>0.248</v>
      </c>
      <c r="I21" s="6" t="n">
        <v>0.423</v>
      </c>
      <c r="J21" s="6" t="n">
        <v>0.219</v>
      </c>
      <c r="K21" s="7">
        <f>INDEX(F21:J21,E21)</f>
        <v/>
      </c>
      <c r="L21" s="8">
        <f>IF(INDEX(F21:J21,E21)=MAX(F21:J21),MATCH(LARGE(F21:J21,2),F21:J21,0),MATCH(MAX(F21:J21),F21:J21,0))</f>
        <v/>
      </c>
      <c r="M21" s="7">
        <f>INDEX(F21:J21,L21)</f>
        <v/>
      </c>
      <c r="N21" s="9">
        <f>IF(M21&gt;K21,"오답이 정답보다 많이 선택됨","")</f>
        <v/>
      </c>
      <c r="O21" s="7">
        <f>SUM(F21:J21)</f>
        <v/>
      </c>
      <c r="P21" s="10" t="inlineStr">
        <is>
          <t>moeui-2026-03-42-literary-mirror</t>
        </is>
      </c>
      <c r="Q21" s="5" t="inlineStr">
        <is>
          <t>초안</t>
        </is>
      </c>
      <c r="R21" s="10" t="inlineStr">
        <is>
          <t>Claude 초안 2026-10-21 — 선생님 검토 전</t>
        </is>
      </c>
    </row>
  </sheetData>
  <mergeCells count="8">
    <mergeCell ref="A5:A6"/>
    <mergeCell ref="E5:E6"/>
    <mergeCell ref="P5:R5"/>
    <mergeCell ref="F5:J5"/>
    <mergeCell ref="C5:C6"/>
    <mergeCell ref="K5:O5"/>
    <mergeCell ref="B5:B6"/>
    <mergeCell ref="D5:D6"/>
  </mergeCells>
  <conditionalFormatting sqref="F7:J21">
    <cfRule type="expression" priority="1" dxfId="0">
      <formula>COLUMN(F7)-5=$E7</formula>
    </cfRule>
    <cfRule type="expression" priority="2" dxfId="1">
      <formula>COLUMN(F7)-5=$L7</formula>
    </cfRule>
  </conditionalFormatting>
  <conditionalFormatting sqref="O7:O21">
    <cfRule type="expression" priority="3" dxfId="2">
      <formula>ABS($O7-1)&gt;0.002</formula>
    </cfRule>
  </conditionalFormatting>
  <conditionalFormatting sqref="C7:C21">
    <cfRule type="colorScale" priority="4">
      <colorScale>
        <cfvo type="min"/>
        <cfvo type="max"/>
        <color rgb="00FFFFFF"/>
        <color rgb="00F4A8B8"/>
      </colorScale>
    </cfRule>
  </conditionalFormatting>
  <dataValidations count="2">
    <dataValidation sqref="Q7:Q21" showDropDown="0" showInputMessage="0" showErrorMessage="0" allowBlank="1" type="list">
      <formula1>"예정,작업중,완료,보류"</formula1>
    </dataValidation>
    <dataValidation sqref="E7:E2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24" customWidth="1" min="14" max="14"/>
    <col width="9" customWidth="1" min="15" max="15"/>
    <col width="34" customWidth="1" min="16" max="16"/>
    <col width="9" customWidth="1" min="17" max="17"/>
    <col width="46" customWidth="1" min="18" max="18"/>
  </cols>
  <sheetData>
    <row r="1">
      <c r="A1" s="1" t="inlineStr">
        <is>
          <t>2025학년도 3월 고3 전국연합학력평가 영어 — 오답률 상위 15문항</t>
        </is>
      </c>
    </row>
    <row r="2">
      <c r="A2" s="2" t="inlineStr">
        <is>
          <t>출처: EBS 오답률 상위 15문항 공개 자료 (사용자가 제공한 캡처를 2026-09-28에 옮겨 적음). 비율은 전체 응시자 기준 %.</t>
        </is>
      </c>
    </row>
    <row r="3">
      <c r="A3" s="2" t="inlineStr">
        <is>
          <t>파란 글씨 = 직접 입력하는 값 · 검은 글씨 = 자동 계산 · 초록 칸 = 정답 · 주황 칸 = 가장 많이 고른 오답 · 합계가 100%에서 0.2%p 넘게 벗어나면 빨간 칸</t>
        </is>
      </c>
    </row>
    <row r="5" ht="22" customHeight="1">
      <c r="A5" s="3" t="inlineStr">
        <is>
          <t>순위</t>
        </is>
      </c>
      <c r="B5" s="3" t="inlineStr">
        <is>
          <t>문항
번호</t>
        </is>
      </c>
      <c r="C5" s="3" t="inlineStr">
        <is>
          <t>오답률</t>
        </is>
      </c>
      <c r="D5" s="3" t="inlineStr">
        <is>
          <t>배점</t>
        </is>
      </c>
      <c r="E5" s="3" t="inlineStr">
        <is>
          <t>정답</t>
        </is>
      </c>
      <c r="F5" s="3" t="inlineStr">
        <is>
          <t>선택지별 비율</t>
        </is>
      </c>
      <c r="G5" s="11" t="n"/>
      <c r="H5" s="11" t="n"/>
      <c r="I5" s="11" t="n"/>
      <c r="J5" s="12" t="n"/>
      <c r="K5" s="3" t="inlineStr">
        <is>
          <t>분석 (자동 계산)</t>
        </is>
      </c>
      <c r="L5" s="11" t="n"/>
      <c r="M5" s="11" t="n"/>
      <c r="N5" s="11" t="n"/>
      <c r="O5" s="12" t="n"/>
      <c r="P5" s="3" t="inlineStr">
        <is>
          <t>앱 작업 관리</t>
        </is>
      </c>
      <c r="Q5" s="11" t="n"/>
      <c r="R5" s="12" t="n"/>
    </row>
    <row r="6" ht="34" customHeight="1">
      <c r="A6" s="13" t="n"/>
      <c r="B6" s="13" t="n"/>
      <c r="C6" s="13" t="n"/>
      <c r="D6" s="13" t="n"/>
      <c r="E6" s="13" t="n"/>
      <c r="F6" s="4" t="inlineStr">
        <is>
          <t>①</t>
        </is>
      </c>
      <c r="G6" s="4" t="inlineStr">
        <is>
          <t>②</t>
        </is>
      </c>
      <c r="H6" s="4" t="inlineStr">
        <is>
          <t>③</t>
        </is>
      </c>
      <c r="I6" s="4" t="inlineStr">
        <is>
          <t>④</t>
        </is>
      </c>
      <c r="J6" s="4" t="inlineStr">
        <is>
          <t>⑤</t>
        </is>
      </c>
      <c r="K6" s="4" t="inlineStr">
        <is>
          <t>정답
선택률</t>
        </is>
      </c>
      <c r="L6" s="4" t="inlineStr">
        <is>
          <t>최다 오답
번호</t>
        </is>
      </c>
      <c r="M6" s="4" t="inlineStr">
        <is>
          <t>최다 오답
비율</t>
        </is>
      </c>
      <c r="N6" s="4" t="inlineStr">
        <is>
          <t>경고</t>
        </is>
      </c>
      <c r="O6" s="4" t="inlineStr">
        <is>
          <t>선택률
합계</t>
        </is>
      </c>
      <c r="P6" s="4" t="inlineStr">
        <is>
          <t>레슨 id</t>
        </is>
      </c>
      <c r="Q6" s="4" t="inlineStr">
        <is>
          <t>상태</t>
        </is>
      </c>
      <c r="R6" s="4" t="inlineStr">
        <is>
          <t>메모</t>
        </is>
      </c>
    </row>
    <row r="7">
      <c r="A7" s="5" t="n">
        <v>15</v>
      </c>
      <c r="B7" s="5" t="n">
        <v>6</v>
      </c>
      <c r="C7" s="6" t="n">
        <v>0.444</v>
      </c>
      <c r="D7" s="5" t="n">
        <v>3</v>
      </c>
      <c r="E7" s="5" t="n">
        <v>4</v>
      </c>
      <c r="F7" s="6" t="n">
        <v>0.112</v>
      </c>
      <c r="G7" s="6" t="n">
        <v>0.154</v>
      </c>
      <c r="H7" s="6" t="n">
        <v>0.137</v>
      </c>
      <c r="I7" s="6" t="n">
        <v>0.556</v>
      </c>
      <c r="J7" s="6" t="n">
        <v>0.04</v>
      </c>
      <c r="K7" s="7">
        <f>INDEX(F7:J7,E7)</f>
        <v/>
      </c>
      <c r="L7" s="8">
        <f>IF(INDEX(F7:J7,E7)=MAX(F7:J7),MATCH(LARGE(F7:J7,2),F7:J7,0),MATCH(MAX(F7:J7),F7:J7,0))</f>
        <v/>
      </c>
      <c r="M7" s="7">
        <f>INDEX(F7:J7,L7)</f>
        <v/>
      </c>
      <c r="N7" s="9">
        <f>IF(M7&gt;K7,"오답이 정답보다 많이 선택됨","")</f>
        <v/>
      </c>
      <c r="O7" s="7">
        <f>SUM(F7:J7)</f>
        <v/>
      </c>
      <c r="P7" s="10" t="n"/>
      <c r="Q7" s="5" t="inlineStr">
        <is>
          <t>예정</t>
        </is>
      </c>
      <c r="R7" s="10" t="n"/>
    </row>
    <row r="8">
      <c r="A8" s="5" t="n">
        <v>7</v>
      </c>
      <c r="B8" s="5" t="n">
        <v>21</v>
      </c>
      <c r="C8" s="6" t="n">
        <v>0.574</v>
      </c>
      <c r="D8" s="5" t="n">
        <v>3</v>
      </c>
      <c r="E8" s="5" t="n">
        <v>1</v>
      </c>
      <c r="F8" s="6" t="n">
        <v>0.426</v>
      </c>
      <c r="G8" s="6" t="n">
        <v>0.119</v>
      </c>
      <c r="H8" s="6" t="n">
        <v>0.174</v>
      </c>
      <c r="I8" s="6" t="n">
        <v>0.213</v>
      </c>
      <c r="J8" s="6" t="n">
        <v>0.068</v>
      </c>
      <c r="K8" s="7">
        <f>INDEX(F8:J8,E8)</f>
        <v/>
      </c>
      <c r="L8" s="8">
        <f>IF(INDEX(F8:J8,E8)=MAX(F8:J8),MATCH(LARGE(F8:J8,2),F8:J8,0),MATCH(MAX(F8:J8),F8:J8,0))</f>
        <v/>
      </c>
      <c r="M8" s="7">
        <f>INDEX(F8:J8,L8)</f>
        <v/>
      </c>
      <c r="N8" s="9">
        <f>IF(M8&gt;K8,"오답이 정답보다 많이 선택됨","")</f>
        <v/>
      </c>
      <c r="O8" s="7">
        <f>SUM(F8:J8)</f>
        <v/>
      </c>
      <c r="P8" s="10" t="inlineStr">
        <is>
          <t>moeui-2025-03-21-descartes-tree</t>
        </is>
      </c>
      <c r="Q8" s="5" t="inlineStr">
        <is>
          <t>작업중</t>
        </is>
      </c>
      <c r="R8" s="10" t="inlineStr">
        <is>
          <t>④ 선택 21.3% — 레슨의 마지막 문제에서 ④ 오답 설명을 챙길 것</t>
        </is>
      </c>
    </row>
    <row r="9">
      <c r="A9" s="5" t="n">
        <v>13</v>
      </c>
      <c r="B9" s="5" t="n">
        <v>29</v>
      </c>
      <c r="C9" s="6" t="n">
        <v>0.486</v>
      </c>
      <c r="D9" s="5" t="n">
        <v>3</v>
      </c>
      <c r="E9" s="5" t="n">
        <v>3</v>
      </c>
      <c r="F9" s="6" t="n">
        <v>0.04</v>
      </c>
      <c r="G9" s="6" t="n">
        <v>0.156</v>
      </c>
      <c r="H9" s="6" t="n">
        <v>0.514</v>
      </c>
      <c r="I9" s="6" t="n">
        <v>0.221</v>
      </c>
      <c r="J9" s="6" t="n">
        <v>0.068</v>
      </c>
      <c r="K9" s="7">
        <f>INDEX(F9:J9,E9)</f>
        <v/>
      </c>
      <c r="L9" s="8">
        <f>IF(INDEX(F9:J9,E9)=MAX(F9:J9),MATCH(LARGE(F9:J9,2),F9:J9,0),MATCH(MAX(F9:J9),F9:J9,0))</f>
        <v/>
      </c>
      <c r="M9" s="7">
        <f>INDEX(F9:J9,L9)</f>
        <v/>
      </c>
      <c r="N9" s="9">
        <f>IF(M9&gt;K9,"오답이 정답보다 많이 선택됨","")</f>
        <v/>
      </c>
      <c r="O9" s="7">
        <f>SUM(F9:J9)</f>
        <v/>
      </c>
      <c r="P9" s="10" t="n"/>
      <c r="Q9" s="5" t="inlineStr">
        <is>
          <t>예정</t>
        </is>
      </c>
      <c r="R9" s="10" t="n"/>
    </row>
    <row r="10">
      <c r="A10" s="5" t="n">
        <v>2</v>
      </c>
      <c r="B10" s="5" t="n">
        <v>30</v>
      </c>
      <c r="C10" s="6" t="n">
        <v>0.6629999999999999</v>
      </c>
      <c r="D10" s="5" t="n">
        <v>2</v>
      </c>
      <c r="E10" s="5" t="n">
        <v>5</v>
      </c>
      <c r="F10" s="6" t="n">
        <v>0.094</v>
      </c>
      <c r="G10" s="6" t="n">
        <v>0.107</v>
      </c>
      <c r="H10" s="6" t="n">
        <v>0.302</v>
      </c>
      <c r="I10" s="6" t="n">
        <v>0.161</v>
      </c>
      <c r="J10" s="6" t="n">
        <v>0.337</v>
      </c>
      <c r="K10" s="7">
        <f>INDEX(F10:J10,E10)</f>
        <v/>
      </c>
      <c r="L10" s="8">
        <f>IF(INDEX(F10:J10,E10)=MAX(F10:J10),MATCH(LARGE(F10:J10,2),F10:J10,0),MATCH(MAX(F10:J10),F10:J10,0))</f>
        <v/>
      </c>
      <c r="M10" s="7">
        <f>INDEX(F10:J10,L10)</f>
        <v/>
      </c>
      <c r="N10" s="9">
        <f>IF(M10&gt;K10,"오답이 정답보다 많이 선택됨","")</f>
        <v/>
      </c>
      <c r="O10" s="7">
        <f>SUM(F10:J10)</f>
        <v/>
      </c>
      <c r="P10" s="10" t="n"/>
      <c r="Q10" s="5" t="inlineStr">
        <is>
          <t>예정</t>
        </is>
      </c>
      <c r="R10" s="10" t="n"/>
    </row>
    <row r="11">
      <c r="A11" s="5" t="n">
        <v>10</v>
      </c>
      <c r="B11" s="5" t="n">
        <v>32</v>
      </c>
      <c r="C11" s="6" t="n">
        <v>0.514</v>
      </c>
      <c r="D11" s="5" t="n">
        <v>3</v>
      </c>
      <c r="E11" s="5" t="n">
        <v>1</v>
      </c>
      <c r="F11" s="6" t="n">
        <v>0.486</v>
      </c>
      <c r="G11" s="6" t="n">
        <v>0.159</v>
      </c>
      <c r="H11" s="6" t="n">
        <v>0.124</v>
      </c>
      <c r="I11" s="6" t="n">
        <v>0.118</v>
      </c>
      <c r="J11" s="6" t="n">
        <v>0.113</v>
      </c>
      <c r="K11" s="7">
        <f>INDEX(F11:J11,E11)</f>
        <v/>
      </c>
      <c r="L11" s="8">
        <f>IF(INDEX(F11:J11,E11)=MAX(F11:J11),MATCH(LARGE(F11:J11,2),F11:J11,0),MATCH(MAX(F11:J11),F11:J11,0))</f>
        <v/>
      </c>
      <c r="M11" s="7">
        <f>INDEX(F11:J11,L11)</f>
        <v/>
      </c>
      <c r="N11" s="9">
        <f>IF(M11&gt;K11,"오답이 정답보다 많이 선택됨","")</f>
        <v/>
      </c>
      <c r="O11" s="7">
        <f>SUM(F11:J11)</f>
        <v/>
      </c>
      <c r="P11" s="10" t="n"/>
      <c r="Q11" s="5" t="inlineStr">
        <is>
          <t>예정</t>
        </is>
      </c>
      <c r="R11" s="10" t="n"/>
    </row>
    <row r="12">
      <c r="A12" s="5" t="n">
        <v>3</v>
      </c>
      <c r="B12" s="5" t="n">
        <v>33</v>
      </c>
      <c r="C12" s="6" t="n">
        <v>0.642</v>
      </c>
      <c r="D12" s="5" t="n">
        <v>3</v>
      </c>
      <c r="E12" s="5" t="n">
        <v>2</v>
      </c>
      <c r="F12" s="6" t="n">
        <v>0.204</v>
      </c>
      <c r="G12" s="6" t="n">
        <v>0.358</v>
      </c>
      <c r="H12" s="6" t="n">
        <v>0.143</v>
      </c>
      <c r="I12" s="6" t="n">
        <v>0.163</v>
      </c>
      <c r="J12" s="6" t="n">
        <v>0.132</v>
      </c>
      <c r="K12" s="7">
        <f>INDEX(F12:J12,E12)</f>
        <v/>
      </c>
      <c r="L12" s="8">
        <f>IF(INDEX(F12:J12,E12)=MAX(F12:J12),MATCH(LARGE(F12:J12,2),F12:J12,0),MATCH(MAX(F12:J12),F12:J12,0))</f>
        <v/>
      </c>
      <c r="M12" s="7">
        <f>INDEX(F12:J12,L12)</f>
        <v/>
      </c>
      <c r="N12" s="9">
        <f>IF(M12&gt;K12,"오답이 정답보다 많이 선택됨","")</f>
        <v/>
      </c>
      <c r="O12" s="7">
        <f>SUM(F12:J12)</f>
        <v/>
      </c>
      <c r="P12" s="10" t="n"/>
      <c r="Q12" s="5" t="inlineStr">
        <is>
          <t>예정</t>
        </is>
      </c>
      <c r="R12" s="10" t="n"/>
    </row>
    <row r="13">
      <c r="A13" s="5" t="n">
        <v>5</v>
      </c>
      <c r="B13" s="5" t="n">
        <v>34</v>
      </c>
      <c r="C13" s="6" t="n">
        <v>0.634</v>
      </c>
      <c r="D13" s="5" t="n">
        <v>2</v>
      </c>
      <c r="E13" s="5" t="n">
        <v>1</v>
      </c>
      <c r="F13" s="6" t="n">
        <v>0.366</v>
      </c>
      <c r="G13" s="6" t="n">
        <v>0.173</v>
      </c>
      <c r="H13" s="6" t="n">
        <v>0.133</v>
      </c>
      <c r="I13" s="6" t="n">
        <v>0.238</v>
      </c>
      <c r="J13" s="6" t="n">
        <v>0.09</v>
      </c>
      <c r="K13" s="7">
        <f>INDEX(F13:J13,E13)</f>
        <v/>
      </c>
      <c r="L13" s="8">
        <f>IF(INDEX(F13:J13,E13)=MAX(F13:J13),MATCH(LARGE(F13:J13,2),F13:J13,0),MATCH(MAX(F13:J13),F13:J13,0))</f>
        <v/>
      </c>
      <c r="M13" s="7">
        <f>INDEX(F13:J13,L13)</f>
        <v/>
      </c>
      <c r="N13" s="9">
        <f>IF(M13&gt;K13,"오답이 정답보다 많이 선택됨","")</f>
        <v/>
      </c>
      <c r="O13" s="7">
        <f>SUM(F13:J13)</f>
        <v/>
      </c>
      <c r="P13" s="10" t="n"/>
      <c r="Q13" s="5" t="inlineStr">
        <is>
          <t>예정</t>
        </is>
      </c>
      <c r="R13" s="10" t="n"/>
    </row>
    <row r="14">
      <c r="A14" s="5" t="n">
        <v>11</v>
      </c>
      <c r="B14" s="5" t="n">
        <v>35</v>
      </c>
      <c r="C14" s="6" t="n">
        <v>0.513</v>
      </c>
      <c r="D14" s="5" t="n">
        <v>2</v>
      </c>
      <c r="E14" s="5" t="n">
        <v>3</v>
      </c>
      <c r="F14" s="6" t="n">
        <v>0.045</v>
      </c>
      <c r="G14" s="6" t="n">
        <v>0.129</v>
      </c>
      <c r="H14" s="6" t="n">
        <v>0.487</v>
      </c>
      <c r="I14" s="6" t="n">
        <v>0.278</v>
      </c>
      <c r="J14" s="6" t="n">
        <v>0.06</v>
      </c>
      <c r="K14" s="7">
        <f>INDEX(F14:J14,E14)</f>
        <v/>
      </c>
      <c r="L14" s="8">
        <f>IF(INDEX(F14:J14,E14)=MAX(F14:J14),MATCH(LARGE(F14:J14,2),F14:J14,0),MATCH(MAX(F14:J14),F14:J14,0))</f>
        <v/>
      </c>
      <c r="M14" s="7">
        <f>INDEX(F14:J14,L14)</f>
        <v/>
      </c>
      <c r="N14" s="9">
        <f>IF(M14&gt;K14,"오답이 정답보다 많이 선택됨","")</f>
        <v/>
      </c>
      <c r="O14" s="7">
        <f>SUM(F14:J14)</f>
        <v/>
      </c>
      <c r="P14" s="10" t="n"/>
      <c r="Q14" s="5" t="inlineStr">
        <is>
          <t>예정</t>
        </is>
      </c>
      <c r="R14" s="10" t="n"/>
    </row>
    <row r="15">
      <c r="A15" s="5" t="n">
        <v>4</v>
      </c>
      <c r="B15" s="5" t="n">
        <v>36</v>
      </c>
      <c r="C15" s="6" t="n">
        <v>0.64</v>
      </c>
      <c r="D15" s="5" t="n">
        <v>2</v>
      </c>
      <c r="E15" s="5" t="n">
        <v>4</v>
      </c>
      <c r="F15" s="6" t="n">
        <v>0.07099999999999999</v>
      </c>
      <c r="G15" s="6" t="n">
        <v>0.195</v>
      </c>
      <c r="H15" s="6" t="n">
        <v>0.171</v>
      </c>
      <c r="I15" s="6" t="n">
        <v>0.36</v>
      </c>
      <c r="J15" s="6" t="n">
        <v>0.203</v>
      </c>
      <c r="K15" s="7">
        <f>INDEX(F15:J15,E15)</f>
        <v/>
      </c>
      <c r="L15" s="8">
        <f>IF(INDEX(F15:J15,E15)=MAX(F15:J15),MATCH(LARGE(F15:J15,2),F15:J15,0),MATCH(MAX(F15:J15),F15:J15,0))</f>
        <v/>
      </c>
      <c r="M15" s="7">
        <f>INDEX(F15:J15,L15)</f>
        <v/>
      </c>
      <c r="N15" s="9">
        <f>IF(M15&gt;K15,"오답이 정답보다 많이 선택됨","")</f>
        <v/>
      </c>
      <c r="O15" s="7">
        <f>SUM(F15:J15)</f>
        <v/>
      </c>
      <c r="P15" s="10" t="n"/>
      <c r="Q15" s="5" t="inlineStr">
        <is>
          <t>예정</t>
        </is>
      </c>
      <c r="R15" s="10" t="n"/>
    </row>
    <row r="16">
      <c r="A16" s="5" t="n">
        <v>8</v>
      </c>
      <c r="B16" s="5" t="n">
        <v>37</v>
      </c>
      <c r="C16" s="6" t="n">
        <v>0.555</v>
      </c>
      <c r="D16" s="5" t="n">
        <v>3</v>
      </c>
      <c r="E16" s="5" t="n">
        <v>3</v>
      </c>
      <c r="F16" s="6" t="n">
        <v>0.038</v>
      </c>
      <c r="G16" s="6" t="n">
        <v>0.188</v>
      </c>
      <c r="H16" s="6" t="n">
        <v>0.445</v>
      </c>
      <c r="I16" s="6" t="n">
        <v>0.198</v>
      </c>
      <c r="J16" s="6" t="n">
        <v>0.131</v>
      </c>
      <c r="K16" s="7">
        <f>INDEX(F16:J16,E16)</f>
        <v/>
      </c>
      <c r="L16" s="8">
        <f>IF(INDEX(F16:J16,E16)=MAX(F16:J16),MATCH(LARGE(F16:J16,2),F16:J16,0),MATCH(MAX(F16:J16),F16:J16,0))</f>
        <v/>
      </c>
      <c r="M16" s="7">
        <f>INDEX(F16:J16,L16)</f>
        <v/>
      </c>
      <c r="N16" s="9">
        <f>IF(M16&gt;K16,"오답이 정답보다 많이 선택됨","")</f>
        <v/>
      </c>
      <c r="O16" s="7">
        <f>SUM(F16:J16)</f>
        <v/>
      </c>
      <c r="P16" s="10" t="n"/>
      <c r="Q16" s="5" t="inlineStr">
        <is>
          <t>예정</t>
        </is>
      </c>
      <c r="R16" s="10" t="n"/>
    </row>
    <row r="17">
      <c r="A17" s="5" t="n">
        <v>6</v>
      </c>
      <c r="B17" s="5" t="n">
        <v>38</v>
      </c>
      <c r="C17" s="6" t="n">
        <v>0.622</v>
      </c>
      <c r="D17" s="5" t="n">
        <v>2</v>
      </c>
      <c r="E17" s="5" t="n">
        <v>3</v>
      </c>
      <c r="F17" s="6" t="n">
        <v>0.045</v>
      </c>
      <c r="G17" s="6" t="n">
        <v>0.189</v>
      </c>
      <c r="H17" s="6" t="n">
        <v>0.3779999999999999</v>
      </c>
      <c r="I17" s="6" t="n">
        <v>0.262</v>
      </c>
      <c r="J17" s="6" t="n">
        <v>0.126</v>
      </c>
      <c r="K17" s="7">
        <f>INDEX(F17:J17,E17)</f>
        <v/>
      </c>
      <c r="L17" s="8">
        <f>IF(INDEX(F17:J17,E17)=MAX(F17:J17),MATCH(LARGE(F17:J17,2),F17:J17,0),MATCH(MAX(F17:J17),F17:J17,0))</f>
        <v/>
      </c>
      <c r="M17" s="7">
        <f>INDEX(F17:J17,L17)</f>
        <v/>
      </c>
      <c r="N17" s="9">
        <f>IF(M17&gt;K17,"오답이 정답보다 많이 선택됨","")</f>
        <v/>
      </c>
      <c r="O17" s="7">
        <f>SUM(F17:J17)</f>
        <v/>
      </c>
      <c r="P17" s="10" t="n"/>
      <c r="Q17" s="5" t="inlineStr">
        <is>
          <t>예정</t>
        </is>
      </c>
      <c r="R17" s="10" t="n"/>
    </row>
    <row r="18">
      <c r="A18" s="5" t="n">
        <v>1</v>
      </c>
      <c r="B18" s="5" t="n">
        <v>39</v>
      </c>
      <c r="C18" s="6" t="n">
        <v>0.6899999999999999</v>
      </c>
      <c r="D18" s="5" t="n">
        <v>3</v>
      </c>
      <c r="E18" s="5" t="n">
        <v>3</v>
      </c>
      <c r="F18" s="6" t="n">
        <v>0.049</v>
      </c>
      <c r="G18" s="6" t="n">
        <v>0.139</v>
      </c>
      <c r="H18" s="6" t="n">
        <v>0.31</v>
      </c>
      <c r="I18" s="6" t="n">
        <v>0.343</v>
      </c>
      <c r="J18" s="6" t="n">
        <v>0.158</v>
      </c>
      <c r="K18" s="7">
        <f>INDEX(F18:J18,E18)</f>
        <v/>
      </c>
      <c r="L18" s="8">
        <f>IF(INDEX(F18:J18,E18)=MAX(F18:J18),MATCH(LARGE(F18:J18,2),F18:J18,0),MATCH(MAX(F18:J18),F18:J18,0))</f>
        <v/>
      </c>
      <c r="M18" s="7">
        <f>INDEX(F18:J18,L18)</f>
        <v/>
      </c>
      <c r="N18" s="9">
        <f>IF(M18&gt;K18,"오답이 정답보다 많이 선택됨","")</f>
        <v/>
      </c>
      <c r="O18" s="7">
        <f>SUM(F18:J18)</f>
        <v/>
      </c>
      <c r="P18" s="10" t="n"/>
      <c r="Q18" s="5" t="inlineStr">
        <is>
          <t>예정</t>
        </is>
      </c>
      <c r="R18" s="10" t="n"/>
    </row>
    <row r="19">
      <c r="A19" s="5" t="n">
        <v>14</v>
      </c>
      <c r="B19" s="5" t="n">
        <v>40</v>
      </c>
      <c r="C19" s="6" t="n">
        <v>0.446</v>
      </c>
      <c r="D19" s="5" t="n">
        <v>2</v>
      </c>
      <c r="E19" s="5" t="n">
        <v>1</v>
      </c>
      <c r="F19" s="6" t="n">
        <v>0.5539999999999999</v>
      </c>
      <c r="G19" s="6" t="n">
        <v>0.176</v>
      </c>
      <c r="H19" s="6" t="n">
        <v>0.126</v>
      </c>
      <c r="I19" s="6" t="n">
        <v>0.07400000000000001</v>
      </c>
      <c r="J19" s="6" t="n">
        <v>0.06900000000000001</v>
      </c>
      <c r="K19" s="7">
        <f>INDEX(F19:J19,E19)</f>
        <v/>
      </c>
      <c r="L19" s="8">
        <f>IF(INDEX(F19:J19,E19)=MAX(F19:J19),MATCH(LARGE(F19:J19,2),F19:J19,0),MATCH(MAX(F19:J19),F19:J19,0))</f>
        <v/>
      </c>
      <c r="M19" s="7">
        <f>INDEX(F19:J19,L19)</f>
        <v/>
      </c>
      <c r="N19" s="9">
        <f>IF(M19&gt;K19,"오답이 정답보다 많이 선택됨","")</f>
        <v/>
      </c>
      <c r="O19" s="7">
        <f>SUM(F19:J19)</f>
        <v/>
      </c>
      <c r="P19" s="10" t="n"/>
      <c r="Q19" s="5" t="inlineStr">
        <is>
          <t>예정</t>
        </is>
      </c>
      <c r="R19" s="10" t="n"/>
    </row>
    <row r="20">
      <c r="A20" s="5" t="n">
        <v>12</v>
      </c>
      <c r="B20" s="5" t="n">
        <v>41</v>
      </c>
      <c r="C20" s="6" t="n">
        <v>0.51</v>
      </c>
      <c r="D20" s="5" t="n">
        <v>2</v>
      </c>
      <c r="E20" s="5" t="n">
        <v>2</v>
      </c>
      <c r="F20" s="6" t="n">
        <v>0.146</v>
      </c>
      <c r="G20" s="6" t="n">
        <v>0.49</v>
      </c>
      <c r="H20" s="6" t="n">
        <v>0.149</v>
      </c>
      <c r="I20" s="6" t="n">
        <v>0.122</v>
      </c>
      <c r="J20" s="6" t="n">
        <v>0.094</v>
      </c>
      <c r="K20" s="7">
        <f>INDEX(F20:J20,E20)</f>
        <v/>
      </c>
      <c r="L20" s="8">
        <f>IF(INDEX(F20:J20,E20)=MAX(F20:J20),MATCH(LARGE(F20:J20,2),F20:J20,0),MATCH(MAX(F20:J20),F20:J20,0))</f>
        <v/>
      </c>
      <c r="M20" s="7">
        <f>INDEX(F20:J20,L20)</f>
        <v/>
      </c>
      <c r="N20" s="9">
        <f>IF(M20&gt;K20,"오답이 정답보다 많이 선택됨","")</f>
        <v/>
      </c>
      <c r="O20" s="7">
        <f>SUM(F20:J20)</f>
        <v/>
      </c>
      <c r="P20" s="10" t="n"/>
      <c r="Q20" s="5" t="inlineStr">
        <is>
          <t>예정</t>
        </is>
      </c>
      <c r="R20" s="10" t="n"/>
    </row>
    <row r="21">
      <c r="A21" s="5" t="n">
        <v>9</v>
      </c>
      <c r="B21" s="5" t="n">
        <v>42</v>
      </c>
      <c r="C21" s="6" t="n">
        <v>0.5429999999999999</v>
      </c>
      <c r="D21" s="5" t="n">
        <v>2</v>
      </c>
      <c r="E21" s="5" t="n">
        <v>4</v>
      </c>
      <c r="F21" s="6" t="n">
        <v>0.06</v>
      </c>
      <c r="G21" s="6" t="n">
        <v>0.142</v>
      </c>
      <c r="H21" s="6" t="n">
        <v>0.227</v>
      </c>
      <c r="I21" s="6" t="n">
        <v>0.457</v>
      </c>
      <c r="J21" s="6" t="n">
        <v>0.114</v>
      </c>
      <c r="K21" s="7">
        <f>INDEX(F21:J21,E21)</f>
        <v/>
      </c>
      <c r="L21" s="8">
        <f>IF(INDEX(F21:J21,E21)=MAX(F21:J21),MATCH(LARGE(F21:J21,2),F21:J21,0),MATCH(MAX(F21:J21),F21:J21,0))</f>
        <v/>
      </c>
      <c r="M21" s="7">
        <f>INDEX(F21:J21,L21)</f>
        <v/>
      </c>
      <c r="N21" s="9">
        <f>IF(M21&gt;K21,"오답이 정답보다 많이 선택됨","")</f>
        <v/>
      </c>
      <c r="O21" s="7">
        <f>SUM(F21:J21)</f>
        <v/>
      </c>
      <c r="P21" s="10" t="n"/>
      <c r="Q21" s="5" t="inlineStr">
        <is>
          <t>예정</t>
        </is>
      </c>
      <c r="R21" s="10" t="n"/>
    </row>
  </sheetData>
  <autoFilter ref="A6:R21"/>
  <mergeCells count="8">
    <mergeCell ref="A5:A6"/>
    <mergeCell ref="E5:E6"/>
    <mergeCell ref="P5:R5"/>
    <mergeCell ref="F5:J5"/>
    <mergeCell ref="C5:C6"/>
    <mergeCell ref="K5:O5"/>
    <mergeCell ref="B5:B6"/>
    <mergeCell ref="D5:D6"/>
  </mergeCells>
  <conditionalFormatting sqref="F7:J21">
    <cfRule type="expression" priority="1" dxfId="0">
      <formula>COLUMN(F7)-5=$E7</formula>
    </cfRule>
    <cfRule type="expression" priority="2" dxfId="1">
      <formula>COLUMN(F7)-5=$L7</formula>
    </cfRule>
  </conditionalFormatting>
  <conditionalFormatting sqref="O7:O21">
    <cfRule type="expression" priority="3" dxfId="2">
      <formula>ABS($O7-1)&gt;0.002</formula>
    </cfRule>
  </conditionalFormatting>
  <conditionalFormatting sqref="C7:C21">
    <cfRule type="colorScale" priority="4">
      <colorScale>
        <cfvo type="min"/>
        <cfvo type="max"/>
        <color rgb="00FFFFFF"/>
        <color rgb="00F4A8B8"/>
      </colorScale>
    </cfRule>
  </conditionalFormatting>
  <dataValidations count="2">
    <dataValidation sqref="Q7:Q21" showDropDown="0" showInputMessage="0" showErrorMessage="0" allowBlank="1" type="list">
      <formula1>"예정,작업중,완료,보류"</formula1>
    </dataValidation>
    <dataValidation sqref="E7:E2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24" customWidth="1" min="14" max="14"/>
    <col width="9" customWidth="1" min="15" max="15"/>
    <col width="34" customWidth="1" min="16" max="16"/>
    <col width="9" customWidth="1" min="17" max="17"/>
    <col width="46" customWidth="1" min="18" max="18"/>
  </cols>
  <sheetData>
    <row r="1">
      <c r="A1" s="1" t="inlineStr">
        <is>
          <t>2024년 3월 고3 전국연합학력평가 영어 — 오답률 상위 15문항</t>
        </is>
      </c>
    </row>
    <row r="2">
      <c r="A2" s="2" t="inlineStr">
        <is>
          <t>출처: 오답률 상위 15문항 공개 자료 (사용자가 제공한 캡처를 2026-10-17에 옮겨 적음). 비율은 전체 응시자 기준 %. 작업 순서 = 오답률 높은 순(순위 1부터). 11·12번은 듣기 — 대본으로 만든 레슨.</t>
        </is>
      </c>
    </row>
    <row r="3">
      <c r="A3" s="2" t="inlineStr">
        <is>
          <t>파란 글씨 = 직접 입력하는 값 · 검은 글씨 = 자동 계산 · 초록 칸 = 정답 · 주황 칸 = 가장 많이 고른 오답 · 합계가 100%에서 0.2%p 넘게 벗어나면 빨간 칸</t>
        </is>
      </c>
    </row>
    <row r="5" ht="22" customHeight="1">
      <c r="A5" s="3" t="inlineStr">
        <is>
          <t>순위</t>
        </is>
      </c>
      <c r="B5" s="3" t="inlineStr">
        <is>
          <t>문항
번호</t>
        </is>
      </c>
      <c r="C5" s="3" t="inlineStr">
        <is>
          <t>오답률</t>
        </is>
      </c>
      <c r="D5" s="3" t="inlineStr">
        <is>
          <t>배점</t>
        </is>
      </c>
      <c r="E5" s="3" t="inlineStr">
        <is>
          <t>정답</t>
        </is>
      </c>
      <c r="F5" s="3" t="inlineStr">
        <is>
          <t>선택지별 비율</t>
        </is>
      </c>
      <c r="G5" s="11" t="n"/>
      <c r="H5" s="11" t="n"/>
      <c r="I5" s="11" t="n"/>
      <c r="J5" s="12" t="n"/>
      <c r="K5" s="3" t="inlineStr">
        <is>
          <t>분석 (자동 계산)</t>
        </is>
      </c>
      <c r="L5" s="11" t="n"/>
      <c r="M5" s="11" t="n"/>
      <c r="N5" s="11" t="n"/>
      <c r="O5" s="12" t="n"/>
      <c r="P5" s="3" t="inlineStr">
        <is>
          <t>앱 작업 관리</t>
        </is>
      </c>
      <c r="Q5" s="11" t="n"/>
      <c r="R5" s="12" t="n"/>
    </row>
    <row r="6" ht="34" customHeight="1">
      <c r="A6" s="13" t="n"/>
      <c r="B6" s="13" t="n"/>
      <c r="C6" s="13" t="n"/>
      <c r="D6" s="13" t="n"/>
      <c r="E6" s="13" t="n"/>
      <c r="F6" s="4" t="inlineStr">
        <is>
          <t>①</t>
        </is>
      </c>
      <c r="G6" s="4" t="inlineStr">
        <is>
          <t>②</t>
        </is>
      </c>
      <c r="H6" s="4" t="inlineStr">
        <is>
          <t>③</t>
        </is>
      </c>
      <c r="I6" s="4" t="inlineStr">
        <is>
          <t>④</t>
        </is>
      </c>
      <c r="J6" s="4" t="inlineStr">
        <is>
          <t>⑤</t>
        </is>
      </c>
      <c r="K6" s="4" t="inlineStr">
        <is>
          <t>정답
선택률</t>
        </is>
      </c>
      <c r="L6" s="4" t="inlineStr">
        <is>
          <t>최다 오답
번호</t>
        </is>
      </c>
      <c r="M6" s="4" t="inlineStr">
        <is>
          <t>최다 오답
비율</t>
        </is>
      </c>
      <c r="N6" s="4" t="inlineStr">
        <is>
          <t>경고</t>
        </is>
      </c>
      <c r="O6" s="4" t="inlineStr">
        <is>
          <t>선택률
합계</t>
        </is>
      </c>
      <c r="P6" s="4" t="inlineStr">
        <is>
          <t>레슨 id</t>
        </is>
      </c>
      <c r="Q6" s="4" t="inlineStr">
        <is>
          <t>상태</t>
        </is>
      </c>
      <c r="R6" s="4" t="inlineStr">
        <is>
          <t>메모</t>
        </is>
      </c>
    </row>
    <row r="7">
      <c r="A7" s="5" t="n">
        <v>13</v>
      </c>
      <c r="B7" s="5" t="n">
        <v>11</v>
      </c>
      <c r="C7" s="6" t="n">
        <v>0.422</v>
      </c>
      <c r="D7" s="5" t="n">
        <v>2</v>
      </c>
      <c r="E7" s="5" t="n">
        <v>3</v>
      </c>
      <c r="F7" s="6" t="n">
        <v>0.058</v>
      </c>
      <c r="G7" s="6" t="n">
        <v>0.139</v>
      </c>
      <c r="H7" s="6" t="n">
        <v>0.578</v>
      </c>
      <c r="I7" s="6" t="n">
        <v>0.076</v>
      </c>
      <c r="J7" s="6" t="n">
        <v>0.148</v>
      </c>
      <c r="K7" s="7">
        <f>INDEX(F7:J7,E7)</f>
        <v/>
      </c>
      <c r="L7" s="8">
        <f>IF(INDEX(F7:J7,E7)=MAX(F7:J7),MATCH(LARGE(F7:J7,2),F7:J7,0),MATCH(MAX(F7:J7),F7:J7,0))</f>
        <v/>
      </c>
      <c r="M7" s="7">
        <f>INDEX(F7:J7,L7)</f>
        <v/>
      </c>
      <c r="N7" s="9">
        <f>IF(M7&gt;K7,"오답이 정답보다 많이 선택됨","")</f>
        <v/>
      </c>
      <c r="O7" s="7">
        <f>SUM(F7:J7)</f>
        <v/>
      </c>
      <c r="P7" s="10" t="inlineStr">
        <is>
          <t>moeui-2024-03-11-student-id-photo</t>
        </is>
      </c>
      <c r="Q7" s="5" t="inlineStr">
        <is>
          <t>초안</t>
        </is>
      </c>
      <c r="R7" s="10" t="inlineStr">
        <is>
          <t>듣기</t>
        </is>
      </c>
    </row>
    <row r="8">
      <c r="A8" s="5" t="n">
        <v>8</v>
      </c>
      <c r="B8" s="5" t="n">
        <v>12</v>
      </c>
      <c r="C8" s="6" t="n">
        <v>0.549</v>
      </c>
      <c r="D8" s="5" t="n">
        <v>2</v>
      </c>
      <c r="E8" s="5" t="n">
        <v>2</v>
      </c>
      <c r="F8" s="6" t="n">
        <v>0.051</v>
      </c>
      <c r="G8" s="6" t="n">
        <v>0.451</v>
      </c>
      <c r="H8" s="6" t="n">
        <v>0.077</v>
      </c>
      <c r="I8" s="6" t="n">
        <v>0.024</v>
      </c>
      <c r="J8" s="6" t="n">
        <v>0.397</v>
      </c>
      <c r="K8" s="7">
        <f>INDEX(F8:J8,E8)</f>
        <v/>
      </c>
      <c r="L8" s="8">
        <f>IF(INDEX(F8:J8,E8)=MAX(F8:J8),MATCH(LARGE(F8:J8,2),F8:J8,0),MATCH(MAX(F8:J8),F8:J8,0))</f>
        <v/>
      </c>
      <c r="M8" s="7">
        <f>INDEX(F8:J8,L8)</f>
        <v/>
      </c>
      <c r="N8" s="9">
        <f>IF(M8&gt;K8,"오답이 정답보다 많이 선택됨","")</f>
        <v/>
      </c>
      <c r="O8" s="7">
        <f>SUM(F8:J8)</f>
        <v/>
      </c>
      <c r="P8" s="10" t="inlineStr">
        <is>
          <t>moeui-2024-03-12-driving-break</t>
        </is>
      </c>
      <c r="Q8" s="5" t="inlineStr">
        <is>
          <t>초안</t>
        </is>
      </c>
      <c r="R8" s="10" t="inlineStr">
        <is>
          <t>듣기. ⑤ 39.7% (take over)</t>
        </is>
      </c>
    </row>
    <row r="9">
      <c r="A9" s="5" t="n">
        <v>10</v>
      </c>
      <c r="B9" s="5" t="n">
        <v>21</v>
      </c>
      <c r="C9" s="6" t="n">
        <v>0.499</v>
      </c>
      <c r="D9" s="5" t="n">
        <v>2</v>
      </c>
      <c r="E9" s="5" t="n">
        <v>5</v>
      </c>
      <c r="F9" s="6" t="n">
        <v>0.239</v>
      </c>
      <c r="G9" s="6" t="n">
        <v>0.053</v>
      </c>
      <c r="H9" s="6" t="n">
        <v>0.081</v>
      </c>
      <c r="I9" s="6" t="n">
        <v>0.125</v>
      </c>
      <c r="J9" s="6" t="n">
        <v>0.501</v>
      </c>
      <c r="K9" s="7">
        <f>INDEX(F9:J9,E9)</f>
        <v/>
      </c>
      <c r="L9" s="8">
        <f>IF(INDEX(F9:J9,E9)=MAX(F9:J9),MATCH(LARGE(F9:J9,2),F9:J9,0),MATCH(MAX(F9:J9),F9:J9,0))</f>
        <v/>
      </c>
      <c r="M9" s="7">
        <f>INDEX(F9:J9,L9)</f>
        <v/>
      </c>
      <c r="N9" s="9">
        <f>IF(M9&gt;K9,"오답이 정답보다 많이 선택됨","")</f>
        <v/>
      </c>
      <c r="O9" s="7">
        <f>SUM(F9:J9)</f>
        <v/>
      </c>
      <c r="P9" s="10" t="inlineStr">
        <is>
          <t>moeui-2024-03-21-taste-its-price</t>
        </is>
      </c>
      <c r="Q9" s="5" t="inlineStr">
        <is>
          <t>초안</t>
        </is>
      </c>
      <c r="R9" s="10" t="n"/>
    </row>
    <row r="10">
      <c r="A10" s="5" t="n">
        <v>9</v>
      </c>
      <c r="B10" s="5" t="n">
        <v>24</v>
      </c>
      <c r="C10" s="6" t="n">
        <v>0.503</v>
      </c>
      <c r="D10" s="5" t="n">
        <v>2</v>
      </c>
      <c r="E10" s="5" t="n">
        <v>5</v>
      </c>
      <c r="F10" s="6" t="n">
        <v>0.135</v>
      </c>
      <c r="G10" s="6" t="n">
        <v>0.078</v>
      </c>
      <c r="H10" s="6" t="n">
        <v>0.092</v>
      </c>
      <c r="I10" s="6" t="n">
        <v>0.198</v>
      </c>
      <c r="J10" s="6" t="n">
        <v>0.497</v>
      </c>
      <c r="K10" s="7">
        <f>INDEX(F10:J10,E10)</f>
        <v/>
      </c>
      <c r="L10" s="8">
        <f>IF(INDEX(F10:J10,E10)=MAX(F10:J10),MATCH(LARGE(F10:J10,2),F10:J10,0),MATCH(MAX(F10:J10),F10:J10,0))</f>
        <v/>
      </c>
      <c r="M10" s="7">
        <f>INDEX(F10:J10,L10)</f>
        <v/>
      </c>
      <c r="N10" s="9">
        <f>IF(M10&gt;K10,"오답이 정답보다 많이 선택됨","")</f>
        <v/>
      </c>
      <c r="O10" s="7">
        <f>SUM(F10:J10)</f>
        <v/>
      </c>
      <c r="P10" s="10" t="inlineStr">
        <is>
          <t>moeui-2024-03-24-distance-in-time</t>
        </is>
      </c>
      <c r="Q10" s="5" t="inlineStr">
        <is>
          <t>초안</t>
        </is>
      </c>
      <c r="R10" s="10" t="n"/>
    </row>
    <row r="11">
      <c r="A11" s="5" t="n">
        <v>12</v>
      </c>
      <c r="B11" s="5" t="n">
        <v>30</v>
      </c>
      <c r="C11" s="6" t="n">
        <v>0.459</v>
      </c>
      <c r="D11" s="5" t="n">
        <v>3</v>
      </c>
      <c r="E11" s="5" t="n">
        <v>3</v>
      </c>
      <c r="F11" s="6" t="n">
        <v>0.08799999999999999</v>
      </c>
      <c r="G11" s="6" t="n">
        <v>0.114</v>
      </c>
      <c r="H11" s="6" t="n">
        <v>0.541</v>
      </c>
      <c r="I11" s="6" t="n">
        <v>0.125</v>
      </c>
      <c r="J11" s="6" t="n">
        <v>0.132</v>
      </c>
      <c r="K11" s="7">
        <f>INDEX(F11:J11,E11)</f>
        <v/>
      </c>
      <c r="L11" s="8">
        <f>IF(INDEX(F11:J11,E11)=MAX(F11:J11),MATCH(LARGE(F11:J11,2),F11:J11,0),MATCH(MAX(F11:J11),F11:J11,0))</f>
        <v/>
      </c>
      <c r="M11" s="7">
        <f>INDEX(F11:J11,L11)</f>
        <v/>
      </c>
      <c r="N11" s="9">
        <f>IF(M11&gt;K11,"오답이 정답보다 많이 선택됨","")</f>
        <v/>
      </c>
      <c r="O11" s="7">
        <f>SUM(F11:J11)</f>
        <v/>
      </c>
      <c r="P11" s="10" t="inlineStr">
        <is>
          <t>moeui-2024-03-30-geometry-landmarks</t>
        </is>
      </c>
      <c r="Q11" s="5" t="inlineStr">
        <is>
          <t>초안</t>
        </is>
      </c>
      <c r="R11" s="10" t="n"/>
    </row>
    <row r="12">
      <c r="A12" s="5" t="n">
        <v>3</v>
      </c>
      <c r="B12" s="5" t="n">
        <v>31</v>
      </c>
      <c r="C12" s="6" t="n">
        <v>0.71</v>
      </c>
      <c r="D12" s="5" t="n">
        <v>2</v>
      </c>
      <c r="E12" s="5" t="n">
        <v>1</v>
      </c>
      <c r="F12" s="6" t="n">
        <v>0.29</v>
      </c>
      <c r="G12" s="6" t="n">
        <v>0.3</v>
      </c>
      <c r="H12" s="6" t="n">
        <v>0.242</v>
      </c>
      <c r="I12" s="6" t="n">
        <v>0.08799999999999999</v>
      </c>
      <c r="J12" s="6" t="n">
        <v>0.08</v>
      </c>
      <c r="K12" s="7">
        <f>INDEX(F12:J12,E12)</f>
        <v/>
      </c>
      <c r="L12" s="8">
        <f>IF(INDEX(F12:J12,E12)=MAX(F12:J12),MATCH(LARGE(F12:J12,2),F12:J12,0),MATCH(MAX(F12:J12),F12:J12,0))</f>
        <v/>
      </c>
      <c r="M12" s="7">
        <f>INDEX(F12:J12,L12)</f>
        <v/>
      </c>
      <c r="N12" s="9">
        <f>IF(M12&gt;K12,"오답이 정답보다 많이 선택됨","")</f>
        <v/>
      </c>
      <c r="O12" s="7">
        <f>SUM(F12:J12)</f>
        <v/>
      </c>
      <c r="P12" s="10" t="inlineStr">
        <is>
          <t>moeui-2024-03-31-conventional-writing</t>
        </is>
      </c>
      <c r="Q12" s="5" t="inlineStr">
        <is>
          <t>초안</t>
        </is>
      </c>
      <c r="R12" s="10" t="inlineStr">
        <is>
          <t>② 30.0%가 정답 ①(29.0%)보다 많음 — option_review로 같이 봄</t>
        </is>
      </c>
    </row>
    <row r="13">
      <c r="A13" s="5" t="n">
        <v>5</v>
      </c>
      <c r="B13" s="5" t="n">
        <v>32</v>
      </c>
      <c r="C13" s="6" t="n">
        <v>0.663</v>
      </c>
      <c r="D13" s="5" t="n">
        <v>2</v>
      </c>
      <c r="E13" s="5" t="n">
        <v>1</v>
      </c>
      <c r="F13" s="6" t="n">
        <v>0.337</v>
      </c>
      <c r="G13" s="6" t="n">
        <v>0.118</v>
      </c>
      <c r="H13" s="6" t="n">
        <v>0.141</v>
      </c>
      <c r="I13" s="6" t="n">
        <v>0.165</v>
      </c>
      <c r="J13" s="6" t="n">
        <v>0.239</v>
      </c>
      <c r="K13" s="7">
        <f>INDEX(F13:J13,E13)</f>
        <v/>
      </c>
      <c r="L13" s="8">
        <f>IF(INDEX(F13:J13,E13)=MAX(F13:J13),MATCH(LARGE(F13:J13,2),F13:J13,0),MATCH(MAX(F13:J13),F13:J13,0))</f>
        <v/>
      </c>
      <c r="M13" s="7">
        <f>INDEX(F13:J13,L13)</f>
        <v/>
      </c>
      <c r="N13" s="9">
        <f>IF(M13&gt;K13,"오답이 정답보다 많이 선택됨","")</f>
        <v/>
      </c>
      <c r="O13" s="7">
        <f>SUM(F13:J13)</f>
        <v/>
      </c>
      <c r="P13" s="10" t="inlineStr">
        <is>
          <t>moeui-2024-03-32-altruists-no-choice</t>
        </is>
      </c>
      <c r="Q13" s="5" t="inlineStr">
        <is>
          <t>초안</t>
        </is>
      </c>
      <c r="R13" s="10" t="n"/>
    </row>
    <row r="14">
      <c r="A14" s="5" t="n">
        <v>7</v>
      </c>
      <c r="B14" s="5" t="n">
        <v>33</v>
      </c>
      <c r="C14" s="6" t="n">
        <v>0.5610000000000001</v>
      </c>
      <c r="D14" s="5" t="n">
        <v>3</v>
      </c>
      <c r="E14" s="5" t="n">
        <v>3</v>
      </c>
      <c r="F14" s="6" t="n">
        <v>0.131</v>
      </c>
      <c r="G14" s="6" t="n">
        <v>0.146</v>
      </c>
      <c r="H14" s="6" t="n">
        <v>0.439</v>
      </c>
      <c r="I14" s="6" t="n">
        <v>0.117</v>
      </c>
      <c r="J14" s="6" t="n">
        <v>0.167</v>
      </c>
      <c r="K14" s="7">
        <f>INDEX(F14:J14,E14)</f>
        <v/>
      </c>
      <c r="L14" s="8">
        <f>IF(INDEX(F14:J14,E14)=MAX(F14:J14),MATCH(LARGE(F14:J14,2),F14:J14,0),MATCH(MAX(F14:J14),F14:J14,0))</f>
        <v/>
      </c>
      <c r="M14" s="7">
        <f>INDEX(F14:J14,L14)</f>
        <v/>
      </c>
      <c r="N14" s="9">
        <f>IF(M14&gt;K14,"오답이 정답보다 많이 선택됨","")</f>
        <v/>
      </c>
      <c r="O14" s="7">
        <f>SUM(F14:J14)</f>
        <v/>
      </c>
      <c r="P14" s="10" t="inlineStr">
        <is>
          <t>moeui-2024-03-33-stoic-control</t>
        </is>
      </c>
      <c r="Q14" s="5" t="inlineStr">
        <is>
          <t>초안</t>
        </is>
      </c>
      <c r="R14" s="10" t="n"/>
    </row>
    <row r="15">
      <c r="A15" s="5" t="n">
        <v>2</v>
      </c>
      <c r="B15" s="5" t="n">
        <v>34</v>
      </c>
      <c r="C15" s="6" t="n">
        <v>0.719</v>
      </c>
      <c r="D15" s="5" t="n">
        <v>3</v>
      </c>
      <c r="E15" s="5" t="n">
        <v>1</v>
      </c>
      <c r="F15" s="6" t="n">
        <v>0.281</v>
      </c>
      <c r="G15" s="6" t="n">
        <v>0.188</v>
      </c>
      <c r="H15" s="6" t="n">
        <v>0.184</v>
      </c>
      <c r="I15" s="6" t="n">
        <v>0.184</v>
      </c>
      <c r="J15" s="6" t="n">
        <v>0.162</v>
      </c>
      <c r="K15" s="7">
        <f>INDEX(F15:J15,E15)</f>
        <v/>
      </c>
      <c r="L15" s="8">
        <f>IF(INDEX(F15:J15,E15)=MAX(F15:J15),MATCH(LARGE(F15:J15,2),F15:J15,0),MATCH(MAX(F15:J15),F15:J15,0))</f>
        <v/>
      </c>
      <c r="M15" s="7">
        <f>INDEX(F15:J15,L15)</f>
        <v/>
      </c>
      <c r="N15" s="9">
        <f>IF(M15&gt;K15,"오답이 정답보다 많이 선택됨","")</f>
        <v/>
      </c>
      <c r="O15" s="7">
        <f>SUM(F15:J15)</f>
        <v/>
      </c>
      <c r="P15" s="10" t="inlineStr">
        <is>
          <t>moeui-2024-03-34-ao-green-light</t>
        </is>
      </c>
      <c r="Q15" s="5" t="inlineStr">
        <is>
          <t>초안</t>
        </is>
      </c>
      <c r="R15" s="10" t="inlineStr">
        <is>
          <t>선택 비율이 고르게 퍼짐</t>
        </is>
      </c>
    </row>
    <row r="16">
      <c r="A16" s="5" t="n">
        <v>15</v>
      </c>
      <c r="B16" s="5" t="n">
        <v>36</v>
      </c>
      <c r="C16" s="6" t="n">
        <v>0.389</v>
      </c>
      <c r="D16" s="5" t="n">
        <v>3</v>
      </c>
      <c r="E16" s="5" t="n">
        <v>2</v>
      </c>
      <c r="F16" s="6" t="n">
        <v>0.067</v>
      </c>
      <c r="G16" s="6" t="n">
        <v>0.611</v>
      </c>
      <c r="H16" s="6" t="n">
        <v>0.206</v>
      </c>
      <c r="I16" s="6" t="n">
        <v>0.075</v>
      </c>
      <c r="J16" s="6" t="n">
        <v>0.042</v>
      </c>
      <c r="K16" s="7">
        <f>INDEX(F16:J16,E16)</f>
        <v/>
      </c>
      <c r="L16" s="8">
        <f>IF(INDEX(F16:J16,E16)=MAX(F16:J16),MATCH(LARGE(F16:J16,2),F16:J16,0),MATCH(MAX(F16:J16),F16:J16,0))</f>
        <v/>
      </c>
      <c r="M16" s="7">
        <f>INDEX(F16:J16,L16)</f>
        <v/>
      </c>
      <c r="N16" s="9">
        <f>IF(M16&gt;K16,"오답이 정답보다 많이 선택됨","")</f>
        <v/>
      </c>
      <c r="O16" s="7">
        <f>SUM(F16:J16)</f>
        <v/>
      </c>
      <c r="P16" s="10" t="inlineStr">
        <is>
          <t>moeui-2024-03-36-creative-spectrum</t>
        </is>
      </c>
      <c r="Q16" s="5" t="inlineStr">
        <is>
          <t>초안</t>
        </is>
      </c>
      <c r="R16" s="10" t="n"/>
    </row>
    <row r="17">
      <c r="A17" s="5" t="n">
        <v>4</v>
      </c>
      <c r="B17" s="5" t="n">
        <v>37</v>
      </c>
      <c r="C17" s="6" t="n">
        <v>0.673</v>
      </c>
      <c r="D17" s="5" t="n">
        <v>2</v>
      </c>
      <c r="E17" s="5" t="n">
        <v>5</v>
      </c>
      <c r="F17" s="6" t="n">
        <v>0.045</v>
      </c>
      <c r="G17" s="6" t="n">
        <v>0.155</v>
      </c>
      <c r="H17" s="6" t="n">
        <v>0.16</v>
      </c>
      <c r="I17" s="6" t="n">
        <v>0.313</v>
      </c>
      <c r="J17" s="6" t="n">
        <v>0.327</v>
      </c>
      <c r="K17" s="7">
        <f>INDEX(F17:J17,E17)</f>
        <v/>
      </c>
      <c r="L17" s="8">
        <f>IF(INDEX(F17:J17,E17)=MAX(F17:J17),MATCH(LARGE(F17:J17,2),F17:J17,0),MATCH(MAX(F17:J17),F17:J17,0))</f>
        <v/>
      </c>
      <c r="M17" s="7">
        <f>INDEX(F17:J17,L17)</f>
        <v/>
      </c>
      <c r="N17" s="9">
        <f>IF(M17&gt;K17,"오답이 정답보다 많이 선택됨","")</f>
        <v/>
      </c>
      <c r="O17" s="7">
        <f>SUM(F17:J17)</f>
        <v/>
      </c>
      <c r="P17" s="10" t="inlineStr">
        <is>
          <t>moeui-2024-03-37-urban-planning</t>
        </is>
      </c>
      <c r="Q17" s="5" t="inlineStr">
        <is>
          <t>초안</t>
        </is>
      </c>
      <c r="R17" s="10" t="inlineStr">
        <is>
          <t>④ 31.3%가 정답에 근접</t>
        </is>
      </c>
    </row>
    <row r="18">
      <c r="A18" s="5" t="n">
        <v>6</v>
      </c>
      <c r="B18" s="5" t="n">
        <v>38</v>
      </c>
      <c r="C18" s="6" t="n">
        <v>0.572</v>
      </c>
      <c r="D18" s="5" t="n">
        <v>2</v>
      </c>
      <c r="E18" s="5" t="n">
        <v>4</v>
      </c>
      <c r="F18" s="6" t="n">
        <v>0.038</v>
      </c>
      <c r="G18" s="6" t="n">
        <v>0.089</v>
      </c>
      <c r="H18" s="6" t="n">
        <v>0.28</v>
      </c>
      <c r="I18" s="6" t="n">
        <v>0.428</v>
      </c>
      <c r="J18" s="6" t="n">
        <v>0.164</v>
      </c>
      <c r="K18" s="7">
        <f>INDEX(F18:J18,E18)</f>
        <v/>
      </c>
      <c r="L18" s="8">
        <f>IF(INDEX(F18:J18,E18)=MAX(F18:J18),MATCH(LARGE(F18:J18,2),F18:J18,0),MATCH(MAX(F18:J18),F18:J18,0))</f>
        <v/>
      </c>
      <c r="M18" s="7">
        <f>INDEX(F18:J18,L18)</f>
        <v/>
      </c>
      <c r="N18" s="9">
        <f>IF(M18&gt;K18,"오답이 정답보다 많이 선택됨","")</f>
        <v/>
      </c>
      <c r="O18" s="7">
        <f>SUM(F18:J18)</f>
        <v/>
      </c>
      <c r="P18" s="10" t="inlineStr">
        <is>
          <t>moeui-2024-03-38-pay-as-you-drive</t>
        </is>
      </c>
      <c r="Q18" s="5" t="inlineStr">
        <is>
          <t>초안</t>
        </is>
      </c>
      <c r="R18" s="10" t="n"/>
    </row>
    <row r="19">
      <c r="A19" s="5" t="n">
        <v>1</v>
      </c>
      <c r="B19" s="5" t="n">
        <v>39</v>
      </c>
      <c r="C19" s="6" t="n">
        <v>0.781</v>
      </c>
      <c r="D19" s="5" t="n">
        <v>3</v>
      </c>
      <c r="E19" s="5" t="n">
        <v>2</v>
      </c>
      <c r="F19" s="6" t="n">
        <v>0.076</v>
      </c>
      <c r="G19" s="6" t="n">
        <v>0.219</v>
      </c>
      <c r="H19" s="6" t="n">
        <v>0.258</v>
      </c>
      <c r="I19" s="6" t="n">
        <v>0.279</v>
      </c>
      <c r="J19" s="6" t="n">
        <v>0.168</v>
      </c>
      <c r="K19" s="7">
        <f>INDEX(F19:J19,E19)</f>
        <v/>
      </c>
      <c r="L19" s="8">
        <f>IF(INDEX(F19:J19,E19)=MAX(F19:J19),MATCH(LARGE(F19:J19,2),F19:J19,0),MATCH(MAX(F19:J19),F19:J19,0))</f>
        <v/>
      </c>
      <c r="M19" s="7">
        <f>INDEX(F19:J19,L19)</f>
        <v/>
      </c>
      <c r="N19" s="9">
        <f>IF(M19&gt;K19,"오답이 정답보다 많이 선택됨","")</f>
        <v/>
      </c>
      <c r="O19" s="7">
        <f>SUM(F19:J19)</f>
        <v/>
      </c>
      <c r="P19" s="10" t="inlineStr">
        <is>
          <t>moeui-2024-03-39-perspective-painting</t>
        </is>
      </c>
      <c r="Q19" s="5" t="inlineStr">
        <is>
          <t>초안</t>
        </is>
      </c>
      <c r="R19" s="10" t="inlineStr">
        <is>
          <t>④ 27.9%·③ 25.8%가 정답 ②(21.9%)보다 많음</t>
        </is>
      </c>
    </row>
    <row r="20">
      <c r="A20" s="5" t="n">
        <v>11</v>
      </c>
      <c r="B20" s="5" t="n">
        <v>40</v>
      </c>
      <c r="C20" s="6" t="n">
        <v>0.483</v>
      </c>
      <c r="D20" s="5" t="n">
        <v>2</v>
      </c>
      <c r="E20" s="5" t="n">
        <v>1</v>
      </c>
      <c r="F20" s="6" t="n">
        <v>0.517</v>
      </c>
      <c r="G20" s="6" t="n">
        <v>0.142</v>
      </c>
      <c r="H20" s="6" t="n">
        <v>0.101</v>
      </c>
      <c r="I20" s="6" t="n">
        <v>0.093</v>
      </c>
      <c r="J20" s="6" t="n">
        <v>0.146</v>
      </c>
      <c r="K20" s="7">
        <f>INDEX(F20:J20,E20)</f>
        <v/>
      </c>
      <c r="L20" s="8">
        <f>IF(INDEX(F20:J20,E20)=MAX(F20:J20),MATCH(LARGE(F20:J20,2),F20:J20,0),MATCH(MAX(F20:J20),F20:J20,0))</f>
        <v/>
      </c>
      <c r="M20" s="7">
        <f>INDEX(F20:J20,L20)</f>
        <v/>
      </c>
      <c r="N20" s="9">
        <f>IF(M20&gt;K20,"오답이 정답보다 많이 선택됨","")</f>
        <v/>
      </c>
      <c r="O20" s="7">
        <f>SUM(F20:J20)</f>
        <v/>
      </c>
      <c r="P20" s="10" t="inlineStr">
        <is>
          <t>moeui-2024-03-40-brain-plasticity</t>
        </is>
      </c>
      <c r="Q20" s="5" t="inlineStr">
        <is>
          <t>초안</t>
        </is>
      </c>
      <c r="R20" s="10" t="inlineStr">
        <is>
          <t>요약문 — 지문 먼저 → 요약문(선생님 선택)</t>
        </is>
      </c>
    </row>
    <row r="21">
      <c r="A21" s="5" t="n">
        <v>14</v>
      </c>
      <c r="B21" s="5" t="n">
        <v>42</v>
      </c>
      <c r="C21" s="6" t="n">
        <v>0.402</v>
      </c>
      <c r="D21" s="5" t="n">
        <v>3</v>
      </c>
      <c r="E21" s="5" t="n">
        <v>4</v>
      </c>
      <c r="F21" s="6" t="n">
        <v>0.04</v>
      </c>
      <c r="G21" s="6" t="n">
        <v>0.077</v>
      </c>
      <c r="H21" s="6" t="n">
        <v>0.098</v>
      </c>
      <c r="I21" s="6" t="n">
        <v>0.598</v>
      </c>
      <c r="J21" s="6" t="n">
        <v>0.187</v>
      </c>
      <c r="K21" s="7">
        <f>INDEX(F21:J21,E21)</f>
        <v/>
      </c>
      <c r="L21" s="8">
        <f>IF(INDEX(F21:J21,E21)=MAX(F21:J21),MATCH(LARGE(F21:J21,2),F21:J21,0),MATCH(MAX(F21:J21),F21:J21,0))</f>
        <v/>
      </c>
      <c r="M21" s="7">
        <f>INDEX(F21:J21,L21)</f>
        <v/>
      </c>
      <c r="N21" s="9">
        <f>IF(M21&gt;K21,"오답이 정답보다 많이 선택됨","")</f>
        <v/>
      </c>
      <c r="O21" s="7">
        <f>SUM(F21:J21)</f>
        <v/>
      </c>
      <c r="P21" s="10" t="inlineStr">
        <is>
          <t>moeui-2024-03-42-automatic-thoughts</t>
        </is>
      </c>
      <c r="Q21" s="5" t="inlineStr">
        <is>
          <t>초안</t>
        </is>
      </c>
      <c r="R21" s="10" t="inlineStr">
        <is>
          <t>41~42 장문 중 42번만</t>
        </is>
      </c>
    </row>
  </sheetData>
  <mergeCells count="8">
    <mergeCell ref="A5:A6"/>
    <mergeCell ref="E5:E6"/>
    <mergeCell ref="P5:R5"/>
    <mergeCell ref="F5:J5"/>
    <mergeCell ref="C5:C6"/>
    <mergeCell ref="K5:O5"/>
    <mergeCell ref="B5:B6"/>
    <mergeCell ref="D5:D6"/>
  </mergeCells>
  <conditionalFormatting sqref="F7:J21">
    <cfRule type="expression" priority="1" dxfId="0">
      <formula>COLUMN(F7)-5=$E7</formula>
    </cfRule>
    <cfRule type="expression" priority="2" dxfId="1">
      <formula>COLUMN(F7)-5=$L7</formula>
    </cfRule>
  </conditionalFormatting>
  <conditionalFormatting sqref="O7:O21">
    <cfRule type="expression" priority="3" dxfId="2">
      <formula>ABS($O7-1)&gt;0.002</formula>
    </cfRule>
  </conditionalFormatting>
  <conditionalFormatting sqref="C7:C21">
    <cfRule type="colorScale" priority="4">
      <colorScale>
        <cfvo type="min"/>
        <cfvo type="max"/>
        <color rgb="00FFFFFF"/>
        <color rgb="00F4A8B8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2026-09-27T22:11:27Z</dcterms:created>
  <dcterms:modified xsi:type="dcterms:W3CDTF">2026-10-21T09:42:28Z</dcterms:modified>
</cp:coreProperties>
</file>